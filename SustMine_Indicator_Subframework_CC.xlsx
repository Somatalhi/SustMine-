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codeName="ThisWorkbook"/>
  <mc:AlternateContent xmlns:mc="http://schemas.openxmlformats.org/markup-compatibility/2006">
    <mc:Choice Requires="x15">
      <x15ac:absPath xmlns:x15ac="http://schemas.microsoft.com/office/spreadsheetml/2010/11/ac" url="https://mailmissouri-my.sharepoint.com/personal/hna2xf_umsystem_edu/Documents/Desktop/Revised_SustMine/"/>
    </mc:Choice>
  </mc:AlternateContent>
  <xr:revisionPtr revIDLastSave="0" documentId="8_{12887CAD-37F9-46E7-87EC-A6C01BEB6AC5}" xr6:coauthVersionLast="47" xr6:coauthVersionMax="47" xr10:uidLastSave="{00000000-0000-0000-0000-000000000000}"/>
  <bookViews>
    <workbookView xWindow="-120" yWindow="-120" windowWidth="29040" windowHeight="15720" activeTab="2" xr2:uid="{00000000-000D-0000-FFFF-FFFF00000000}"/>
  </bookViews>
  <sheets>
    <sheet name="INTRO" sheetId="1" r:id="rId1"/>
    <sheet name="Production Schedules" sheetId="7" r:id="rId2"/>
    <sheet name="Evaluation &amp; Selection Criteria" sheetId="2" r:id="rId3"/>
    <sheet name="Final List of SDIs" sheetId="6" r:id="rId4"/>
    <sheet name="MATLAB" sheetId="8"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Altalhi, Hussam Naif S (S&amp;T-Student)</author>
  </authors>
  <commentList>
    <comment ref="D5" authorId="0" shapeId="0" xr:uid="{7A40C440-34ED-495E-968D-ECF0679845CF}">
      <text>
        <r>
          <rPr>
            <b/>
            <sz val="9"/>
            <color indexed="81"/>
            <rFont val="Tahoma"/>
            <family val="2"/>
          </rPr>
          <t>Altalhi, Hussam Naif S (S&amp;T-Student):</t>
        </r>
        <r>
          <rPr>
            <sz val="9"/>
            <color indexed="81"/>
            <rFont val="Tahoma"/>
            <family val="2"/>
          </rPr>
          <t xml:space="preserve">
red + indicates a maximization indicator, and red - indicates a minimization indicator. </t>
        </r>
      </text>
    </comment>
    <comment ref="G5" authorId="0" shapeId="0" xr:uid="{98C15D35-93B1-45E4-9F3B-393978005655}">
      <text>
        <r>
          <rPr>
            <b/>
            <sz val="9"/>
            <color indexed="81"/>
            <rFont val="Tahoma"/>
            <charset val="1"/>
          </rPr>
          <t>Altalhi, Hussam Naif S (S&amp;T-Student):</t>
        </r>
        <r>
          <rPr>
            <sz val="9"/>
            <color indexed="81"/>
            <rFont val="Tahoma"/>
            <charset val="1"/>
          </rPr>
          <t xml:space="preserve">
highlights whether the indicator is directly quantifiable using Whittle outputs and TRS data, or if it requires external sources like literature, regulatory databases, or stakeholder/community input.</t>
        </r>
      </text>
    </comment>
    <comment ref="H5" authorId="0" shapeId="0" xr:uid="{1510B92A-3FF6-42B5-AADF-EF5646419521}">
      <text>
        <r>
          <rPr>
            <b/>
            <sz val="9"/>
            <color indexed="81"/>
            <rFont val="Tahoma"/>
            <family val="2"/>
          </rPr>
          <t>Altalhi, Hussam Naif S (S&amp;T-Student):</t>
        </r>
        <r>
          <rPr>
            <sz val="9"/>
            <color indexed="81"/>
            <rFont val="Tahoma"/>
            <family val="2"/>
          </rPr>
          <t xml:space="preserve">
The indicator must be obtainable and applicable for the specific strategic mine planning activity = production schedules
yes=indicator can be obtained in the production schedules practice.
no=cannot be obtained; therefore, not applicable.</t>
        </r>
      </text>
    </comment>
    <comment ref="I5" authorId="0" shapeId="0" xr:uid="{2830A7FF-07E1-48CC-9016-FD7D760E7D11}">
      <text>
        <r>
          <rPr>
            <b/>
            <sz val="9"/>
            <color indexed="81"/>
            <rFont val="Tahoma"/>
            <family val="2"/>
          </rPr>
          <t>Altalhi, Hussam Naif S (S&amp;T-Student):</t>
        </r>
        <r>
          <rPr>
            <sz val="9"/>
            <color indexed="81"/>
            <rFont val="Tahoma"/>
            <family val="2"/>
          </rPr>
          <t xml:space="preserve">
The indicator is relevant to the identified sustainability issue.
Yes=indicator is relevant to the sustainability issue.
no=not relevant or overly broad.</t>
        </r>
      </text>
    </comment>
    <comment ref="J5" authorId="0" shapeId="0" xr:uid="{5BBE2154-72B7-4FC3-9B26-73C586E36D59}">
      <text>
        <r>
          <rPr>
            <b/>
            <sz val="9"/>
            <color indexed="81"/>
            <rFont val="Tahoma"/>
            <family val="2"/>
          </rPr>
          <t>Altalhi, Hussam Naif S (S&amp;T-Student):</t>
        </r>
        <r>
          <rPr>
            <sz val="9"/>
            <color indexed="81"/>
            <rFont val="Tahoma"/>
            <family val="2"/>
          </rPr>
          <t xml:space="preserve">
the indicator must be measurable quantitatively or qualitatively.
yes=can be measured directly or via proxy using numerical, categorical, or binary scale. 
no=not measurable </t>
        </r>
      </text>
    </comment>
    <comment ref="K5" authorId="0" shapeId="0" xr:uid="{C163413C-B8C3-4FD4-A781-F10AB39DB104}">
      <text>
        <r>
          <rPr>
            <b/>
            <sz val="9"/>
            <color indexed="81"/>
            <rFont val="Tahoma"/>
            <family val="2"/>
          </rPr>
          <t>Altalhi, Hussam Naif S (S&amp;T-Student):</t>
        </r>
        <r>
          <rPr>
            <sz val="9"/>
            <color indexed="81"/>
            <rFont val="Tahoma"/>
            <family val="2"/>
          </rPr>
          <t xml:space="preserve">
indicator data should be accessible or realistically obtainable during the strategic planning stage. 
yes=data can be sourced from feasibility studies, TRSs, or historical records.
no=data is not available.
partly=only some of the required data are available, or data must be estimated or assumed.</t>
        </r>
      </text>
    </comment>
    <comment ref="L5" authorId="0" shapeId="0" xr:uid="{9A7C8DBA-80F0-4741-A703-AA97B3FE3431}">
      <text>
        <r>
          <rPr>
            <b/>
            <sz val="9"/>
            <color indexed="81"/>
            <rFont val="Tahoma"/>
          </rPr>
          <t>Altalhi, Hussam Naif S (S&amp;T-Student):</t>
        </r>
        <r>
          <rPr>
            <sz val="9"/>
            <color indexed="81"/>
            <rFont val="Tahoma"/>
          </rPr>
          <t xml:space="preserve">
the indicator should be based on reliable, accurate, and consistent data.
yes=the data comes from a reliable/accurate/consistent source.
no=source is not reliable. 
partly=the data source is generally reliable but may lack full consistency, completness, or transparency.</t>
        </r>
      </text>
    </comment>
    <comment ref="M5" authorId="0" shapeId="0" xr:uid="{38084998-B86B-4AE6-B951-707F5B6AC618}">
      <text>
        <r>
          <rPr>
            <b/>
            <sz val="9"/>
            <color indexed="81"/>
            <rFont val="Tahoma"/>
            <charset val="1"/>
          </rPr>
          <t>Altalhi, Hussam Naif S (S&amp;T-Student):</t>
        </r>
        <r>
          <rPr>
            <sz val="9"/>
            <color indexed="81"/>
            <rFont val="Tahoma"/>
            <charset val="1"/>
          </rPr>
          <t xml:space="preserve">
Indicate the level of satisfaction when answers to evaluation checks are Partly or No, specifying which parameters or data are needed to improve the indicator’s evaluation or to fully meet the criterion.</t>
        </r>
      </text>
    </comment>
    <comment ref="C6" authorId="0" shapeId="0" xr:uid="{E45C6791-4580-4C10-87DF-9B7F795AE270}">
      <text>
        <r>
          <rPr>
            <b/>
            <sz val="9"/>
            <color indexed="81"/>
            <rFont val="Tahoma"/>
          </rPr>
          <t>Altalhi, Hussam Naif S (S&amp;T-Student):</t>
        </r>
        <r>
          <rPr>
            <sz val="9"/>
            <color indexed="81"/>
            <rFont val="Tahoma"/>
          </rPr>
          <t xml:space="preserve">
The following definition is provided by the GRI to offer contextual understanding of this sustainability issue; it is referenced here for clarity and not adopted in full or limited to GRI disclosures: 
An organization’s impacts on the economy refers to how the value it generates affects economic systems, for
example, as a result of its procurement practices and employment of workers. Infrastructure investments and
services supported by an organization can also have impacts on a community’s well-being and long-term
development. This topic covers economic impacts at local, national, and global levels.</t>
        </r>
      </text>
    </comment>
    <comment ref="C10" authorId="0" shapeId="0" xr:uid="{FEE2E2DA-A1A4-4C56-8E6D-F079C834D184}">
      <text>
        <r>
          <rPr>
            <b/>
            <sz val="9"/>
            <color indexed="81"/>
            <rFont val="Tahoma"/>
          </rPr>
          <t>Altalhi, Hussam Naif S (S&amp;T-Student):</t>
        </r>
        <r>
          <rPr>
            <sz val="9"/>
            <color indexed="81"/>
            <rFont val="Tahoma"/>
          </rPr>
          <t xml:space="preserve">
The following definition is provided by the GRI to offer contextual understanding of this sustainability issue; it is referenced here for clarity and not adopted in full or limited to GRI disclosures: Lack of transparency about payments to governments can contribute to inefficient management of public funds, illicit financial flows, and corruption. This topic covers impacts from an organization's practices related to
payments to governments and the organization’s approach to transparency of such payments.</t>
        </r>
      </text>
    </comment>
  </commentList>
</comments>
</file>

<file path=xl/sharedStrings.xml><?xml version="1.0" encoding="utf-8"?>
<sst xmlns="http://schemas.openxmlformats.org/spreadsheetml/2006/main" count="343" uniqueCount="214">
  <si>
    <t xml:space="preserve">SustMine: A Framework for Integrating Sustainable Development Dimensions into Strategic Mine Planning </t>
  </si>
  <si>
    <t xml:space="preserve">This file is part of a paper titled "SustMine: A Framework for Integrating Sustainable Development Dimensions into Strategic Mine Planning." The proposed framework consists of two inteconnected sub-frameworks. This file covers the first sub-framework, which deals with the selection of sustainability indicators. The content of this file is structured around three key strategic mine planning activities: production schedules, cut-off grades, and ultimate pit limits. Production schedules and cut-off grades are general planning components applicable to both surface and underground mining methods. In contrast, ultimate pit limit design is specific to open-pit mining. However, the SustMine framework is flexible and applicable across different mining methods and planning activities, as long as the evaluation criteria are appropriately assessed. This file contains of five sheets including this one. The first sheet serves as an introduction and it provides information of the authors and contents. The second sheet describes the case study used to test and validate the proposed framework. The remaining three sheets are dedicated to the evaluation of the three activities mentioned above. </t>
  </si>
  <si>
    <r>
      <rPr>
        <b/>
        <sz val="11"/>
        <color rgb="FFFF0000"/>
        <rFont val="Times New Roman"/>
        <family val="1"/>
      </rPr>
      <t>Note:</t>
    </r>
    <r>
      <rPr>
        <sz val="11"/>
        <color theme="1"/>
        <rFont val="Times New Roman"/>
        <family val="1"/>
      </rPr>
      <t xml:space="preserve"> Users are encouraged to use this file and modify the content as needed to suit their own case study or mining context.  </t>
    </r>
  </si>
  <si>
    <t>[1] Department of Mining and Explosives Engineering, Missouri University of Science and Technology, Rolla, MO 65409. hna2xf@mst.edu. ORCID: 0000-0002-7787-4510</t>
  </si>
  <si>
    <t>[2] Department of Mining and Explosives Engineering, Missouri University of Science and Technology, Rolla, MO 65409. kwamea@mst.edu. ORCID: 0000-0001-5363-7492</t>
  </si>
  <si>
    <t>Contents</t>
  </si>
  <si>
    <t xml:space="preserve">TYPE OF ACTIVITY </t>
  </si>
  <si>
    <t>Indicator criteria (Level A)</t>
  </si>
  <si>
    <t>NPV-Optimum Production Schedules</t>
  </si>
  <si>
    <t>Sustainability Issues (X=1:n)</t>
  </si>
  <si>
    <t>Data quality</t>
  </si>
  <si>
    <t xml:space="preserve">Data Availability </t>
  </si>
  <si>
    <t xml:space="preserve">Measurability  </t>
  </si>
  <si>
    <t xml:space="preserve">Applicability </t>
  </si>
  <si>
    <r>
      <t>PROJECT:</t>
    </r>
    <r>
      <rPr>
        <sz val="12"/>
        <color theme="1"/>
        <rFont val="Times New Roman"/>
        <family val="1"/>
      </rPr>
      <t xml:space="preserve"> Hybrid Mine  </t>
    </r>
  </si>
  <si>
    <t xml:space="preserve">Economic </t>
  </si>
  <si>
    <t xml:space="preserve">Environmental </t>
  </si>
  <si>
    <t xml:space="preserve">Social </t>
  </si>
  <si>
    <t xml:space="preserve">Indicator Description </t>
  </si>
  <si>
    <t xml:space="preserve">Indicator Source </t>
  </si>
  <si>
    <t>Hybrid mine is a gold open pit minein Salt Lake City, Utah, assumed to be operated using a conventional truck-and-shovel mining method. The extracted ore undergoes heap leaching, followed by carbon-in-column (CIC) processing for gold recovery.</t>
  </si>
  <si>
    <t>Mine-Site Relevance</t>
  </si>
  <si>
    <t>Schedule ID</t>
  </si>
  <si>
    <t>CAPEX ($M)</t>
  </si>
  <si>
    <t>Production Rate (Mt/year)</t>
  </si>
  <si>
    <t>Processing Throughput (Mt/year)</t>
  </si>
  <si>
    <t>NPV ($M)</t>
  </si>
  <si>
    <t>13​</t>
  </si>
  <si>
    <t>14​</t>
  </si>
  <si>
    <t>9 ​</t>
  </si>
  <si>
    <t>10.5​</t>
  </si>
  <si>
    <t>19​</t>
  </si>
  <si>
    <t>Mine Life (yrs)</t>
  </si>
  <si>
    <t xml:space="preserve">Design Variables </t>
  </si>
  <si>
    <t xml:space="preserve">Whittle Outputs </t>
  </si>
  <si>
    <t>Schedule_1</t>
  </si>
  <si>
    <t>Schedule_2</t>
  </si>
  <si>
    <t>Schedule_3</t>
  </si>
  <si>
    <t>Schedule_4</t>
  </si>
  <si>
    <t>Schedule_5</t>
  </si>
  <si>
    <t>Schedule_6</t>
  </si>
  <si>
    <t>Schedule_7</t>
  </si>
  <si>
    <t>Schedule_8</t>
  </si>
  <si>
    <t>Schedule_9</t>
  </si>
  <si>
    <t>Schedule_10</t>
  </si>
  <si>
    <t>Schedule_11</t>
  </si>
  <si>
    <t>Schedule_12</t>
  </si>
  <si>
    <t>Schedule_13</t>
  </si>
  <si>
    <t>Schedule_14</t>
  </si>
  <si>
    <t>Schedule_15</t>
  </si>
  <si>
    <t>Schedule_16</t>
  </si>
  <si>
    <t>Schedule_17</t>
  </si>
  <si>
    <t>Schedule_18</t>
  </si>
  <si>
    <t>Schedule_19</t>
  </si>
  <si>
    <t>Schedule_20</t>
  </si>
  <si>
    <t>SD Dimension</t>
  </si>
  <si>
    <t xml:space="preserve">SD Dimension </t>
  </si>
  <si>
    <t xml:space="preserve">Quantification Method </t>
  </si>
  <si>
    <t>Indicator Info</t>
  </si>
  <si>
    <t>Ore (tonne)</t>
  </si>
  <si>
    <t>Waste (tonne)</t>
  </si>
  <si>
    <t>Pit utilization (%)</t>
  </si>
  <si>
    <t>Potential Indicator_SDI (Y=1:h)</t>
  </si>
  <si>
    <t xml:space="preserve">Input data for mine planning and design </t>
  </si>
  <si>
    <t>Item</t>
  </si>
  <si>
    <t>Input Value</t>
  </si>
  <si>
    <t>Overall pit slope</t>
  </si>
  <si>
    <t>Unit mining cost</t>
  </si>
  <si>
    <t>$3.28/t</t>
  </si>
  <si>
    <t>Unit Processing cost</t>
  </si>
  <si>
    <t>$19.25/t</t>
  </si>
  <si>
    <t>Processing recovery</t>
  </si>
  <si>
    <t>Gold Price</t>
  </si>
  <si>
    <t>Reclamation costs</t>
  </si>
  <si>
    <t>$3 million</t>
  </si>
  <si>
    <t xml:space="preserve">[3] Department of Engineering Management and Systems Engineering, Missouri University of Science and Technology, Rolla, MO 65409. gabrielnicolosi@mst.edu. ORCID: 0009-0008-3065-7819 </t>
  </si>
  <si>
    <t>[4] Department of Mining and Explosives Engineering, Missouri University of Science and Technology, Rolla, MO 65409. abdullahalmoinee@mst.edu</t>
  </si>
  <si>
    <t>[5] Department of Mining and Explosives Engineering, Missouri University of Science and Technology, Rolla, MO 65409. nhnh5@mst.edu</t>
  </si>
  <si>
    <r>
      <t>Hussam Altalhi</t>
    </r>
    <r>
      <rPr>
        <vertAlign val="superscript"/>
        <sz val="14"/>
        <color theme="1"/>
        <rFont val="Times New Roman"/>
        <family val="1"/>
      </rPr>
      <t>[1]</t>
    </r>
    <r>
      <rPr>
        <sz val="14"/>
        <color theme="1"/>
        <rFont val="Times New Roman"/>
        <family val="1"/>
      </rPr>
      <t>, Kwame Awuah-Offei</t>
    </r>
    <r>
      <rPr>
        <vertAlign val="superscript"/>
        <sz val="14"/>
        <color theme="1"/>
        <rFont val="Times New Roman"/>
        <family val="1"/>
      </rPr>
      <t>[2]</t>
    </r>
    <r>
      <rPr>
        <sz val="14"/>
        <color theme="1"/>
        <rFont val="Times New Roman"/>
        <family val="1"/>
      </rPr>
      <t>, Gabriel Nicolosi</t>
    </r>
    <r>
      <rPr>
        <vertAlign val="superscript"/>
        <sz val="14"/>
        <color theme="1"/>
        <rFont val="Times New Roman"/>
        <family val="1"/>
      </rPr>
      <t>[3]</t>
    </r>
    <r>
      <rPr>
        <sz val="14"/>
        <color theme="1"/>
        <rFont val="Times New Roman"/>
        <family val="1"/>
      </rPr>
      <t xml:space="preserve"> ,  Abdullah Al Moinee</t>
    </r>
    <r>
      <rPr>
        <vertAlign val="superscript"/>
        <sz val="14"/>
        <color theme="1"/>
        <rFont val="Times New Roman"/>
        <family val="1"/>
      </rPr>
      <t>[4]</t>
    </r>
    <r>
      <rPr>
        <sz val="14"/>
        <color theme="1"/>
        <rFont val="Times New Roman"/>
        <family val="1"/>
      </rPr>
      <t>, &amp; Nasib Al Habib</t>
    </r>
    <r>
      <rPr>
        <vertAlign val="superscript"/>
        <sz val="14"/>
        <color theme="1"/>
        <rFont val="Times New Roman"/>
        <family val="1"/>
      </rPr>
      <t>[5]</t>
    </r>
  </si>
  <si>
    <t xml:space="preserve">Inclusion justification </t>
  </si>
  <si>
    <t>SDI X.Y</t>
  </si>
  <si>
    <t>Table.1: Production Schedules and their Design Variables.</t>
  </si>
  <si>
    <t>$4000/oz.</t>
  </si>
  <si>
    <t>Economic</t>
  </si>
  <si>
    <t>It is assumed the safety depends on pit depth because many safety problems are cause by mine depth such as slope failure and truck accidents.</t>
  </si>
  <si>
    <t xml:space="preserve">Developed by the user </t>
  </si>
  <si>
    <t>Table.2: Criteria Evaluation Check for SDIs.</t>
  </si>
  <si>
    <t>Table.3: Final List of SDIs.</t>
  </si>
  <si>
    <t>All surface areas that need reclamation (e.g., open pit, waste dumps leach heaps, and tailings dumps)</t>
  </si>
  <si>
    <t xml:space="preserve">The sum of all areas occupied or affected by mining activities. </t>
  </si>
  <si>
    <t>Depth of mine = [hieghest bench level - pit floor level]</t>
  </si>
  <si>
    <t>Indicator criteria (Level B)</t>
  </si>
  <si>
    <t>GRI 14_Mining Sector 2024</t>
  </si>
  <si>
    <t>List the locations of operations where conflicts or violations of land and resource rights (including
customary, collective, and informal tenure rights) occurred, and describe the incidents and the
stakeholders whose rights are or could be affected.</t>
  </si>
  <si>
    <t xml:space="preserve">we can obtain both variables from the mining software by observing the UPL of each alternative. </t>
  </si>
  <si>
    <t>Literature (peer reviewed journal article).</t>
  </si>
  <si>
    <t xml:space="preserve">Report the number of persons who have been or will be displaced, and a breakdown by gender; describe how peoples' livelihoods and human rights are or could be affected and restored. </t>
  </si>
  <si>
    <t>N/A</t>
  </si>
  <si>
    <t xml:space="preserve">data can be obtained for open pit and waste dumps. Other areas such as leach heaps and tailings dumps will be estimated or assumed. However, those data can be obtained in the future. Therefore, we are going to include it in the final list of indicators. </t>
  </si>
  <si>
    <t xml:space="preserve">Waste </t>
  </si>
  <si>
    <t>through Whittle</t>
  </si>
  <si>
    <t xml:space="preserve">This is an output from Whittle </t>
  </si>
  <si>
    <t>Energy use &amp; efficiency</t>
  </si>
  <si>
    <t xml:space="preserve">Waste material generated  </t>
  </si>
  <si>
    <t>All forms of energy consumed for ore mining, processing, and mine waste.</t>
  </si>
  <si>
    <t xml:space="preserve">overall economic profitability of the project </t>
  </si>
  <si>
    <t>SDI 1.1 (NPV)</t>
  </si>
  <si>
    <r>
      <rPr>
        <b/>
        <sz val="11"/>
        <rFont val="Calibri"/>
        <family val="2"/>
        <scheme val="minor"/>
      </rPr>
      <t>SDI 1.1</t>
    </r>
    <r>
      <rPr>
        <sz val="11"/>
        <rFont val="Calibri"/>
        <family val="2"/>
        <scheme val="minor"/>
      </rPr>
      <t xml:space="preserve"> Net Present value (NPV)</t>
    </r>
    <r>
      <rPr>
        <b/>
        <sz val="12"/>
        <color rgb="FFFF0000"/>
        <rFont val="Calibri"/>
        <family val="2"/>
        <scheme val="minor"/>
      </rPr>
      <t>+</t>
    </r>
  </si>
  <si>
    <t>Present value of Utah’s 2.6% severance tax on the taxable value of metals sold</t>
  </si>
  <si>
    <t>Discounted (today’s) value of all severance taxes. Severance tax by Utah= 2.6%, Revenue= annual sales revenue from metals, discounted rate of 10%, year of operation.</t>
  </si>
  <si>
    <t xml:space="preserve">all input parameters are available from Whittle and the 2.6% Utah tax rate is fixed. </t>
  </si>
  <si>
    <t>NSR (Net Smelter Return) royalty: % of net sales after smelting/refining/transport charges</t>
  </si>
  <si>
    <t>payable = metal produced*payability %; NSR= Payable*price; Royalty=rate*NSR; PV Royalty = royalty*discounted rate</t>
  </si>
  <si>
    <t xml:space="preserve">Payability (%) is assumed to be 95%. This includes treatment (TC), refining  (RC), transport, and marketing. NSR rate = 2.51%. Increasing confident in Deductions values will move Data availability to Yes. </t>
  </si>
  <si>
    <t>Portion of ultimate pit volume actually mined and utilized during operations. This indicator reflects efficiency in resource use. Higher values mean better societal return from the mineral resource.</t>
  </si>
  <si>
    <t>It represents the total number of personnel employed at the mine.</t>
  </si>
  <si>
    <t>Total number of personnel employed including direct mine staff, contractors, and support workers.</t>
  </si>
  <si>
    <t>Represents the duration over which employment opportunities are maintained by the mining operation, reflecting the long-term social stability and security of workers dependent on the project.</t>
  </si>
  <si>
    <t>Job Security = Life of Mine (LOM); LOM is obtained in Whittle.</t>
  </si>
  <si>
    <t xml:space="preserve">Biodiversity </t>
  </si>
  <si>
    <t xml:space="preserve">Air emissions (dust, particulates) </t>
  </si>
  <si>
    <t xml:space="preserve">GHG emissions </t>
  </si>
  <si>
    <t xml:space="preserve">Water and effluents </t>
  </si>
  <si>
    <t>Closure and rehabilitation</t>
  </si>
  <si>
    <t xml:space="preserve">Local communities </t>
  </si>
  <si>
    <t>Land and resource rights</t>
  </si>
  <si>
    <t xml:space="preserve">Occupational health and safety </t>
  </si>
  <si>
    <t>Measures the cumulative spatial and temporal footprint of mining; lower values indicate shorter and/or smaller disturbance, hence lower biodiversity impact.</t>
  </si>
  <si>
    <t xml:space="preserve">This is not applicable in the practice of generating production schedules </t>
  </si>
  <si>
    <t xml:space="preserve">Economic impacts </t>
  </si>
  <si>
    <t xml:space="preserve">Payments to governments </t>
  </si>
  <si>
    <r>
      <rPr>
        <b/>
        <sz val="11"/>
        <rFont val="Calibri"/>
        <family val="2"/>
        <scheme val="minor"/>
      </rPr>
      <t>SDI 1.2</t>
    </r>
    <r>
      <rPr>
        <sz val="11"/>
        <rFont val="Calibri"/>
        <family val="2"/>
        <scheme val="minor"/>
      </rPr>
      <t xml:space="preserve"> Post Mining Income per Year</t>
    </r>
  </si>
  <si>
    <t>It reflects changes between pre-mining land use and post-reclamation land use.</t>
  </si>
  <si>
    <t>[reclaimed land* ISL -land use*IPL]
IPL = income of reclaimed land after mining ($/m2);
ISL = income of land before mining ($/m2)</t>
  </si>
  <si>
    <r>
      <rPr>
        <b/>
        <sz val="11"/>
        <rFont val="Calibri"/>
        <family val="2"/>
        <scheme val="minor"/>
      </rPr>
      <t>SDI 1.3</t>
    </r>
    <r>
      <rPr>
        <sz val="11"/>
        <rFont val="Calibri"/>
        <family val="2"/>
        <scheme val="minor"/>
      </rPr>
      <t xml:space="preserve"> Mining Indirect Benefit</t>
    </r>
  </si>
  <si>
    <t>It is determined by the total indirect benefits that mining brings to the local community, including income from new jobs created along the supply chain (I1), workforce training programs (I2), the portion of mining taxes allocated to local infrastructure development (I3), and the share of employee wages spent within the community (I4), among others.</t>
  </si>
  <si>
    <t>Mining indirect benefit = I1+I2+I3+I4+…</t>
  </si>
  <si>
    <t xml:space="preserve">Indirect benefits mentioned in the description of this indicator are not easily traceable at the scheduling level. </t>
  </si>
  <si>
    <t>Report the percentage of the organization’s procurement budget spent on local
suppliers by mine site.</t>
  </si>
  <si>
    <t xml:space="preserve">Using figures and data from financial statements. </t>
  </si>
  <si>
    <t xml:space="preserve">cannot be obtained for this practice. </t>
  </si>
  <si>
    <r>
      <rPr>
        <b/>
        <sz val="11"/>
        <rFont val="Calibri"/>
        <family val="2"/>
        <scheme val="minor"/>
      </rPr>
      <t>SDI 1.4</t>
    </r>
    <r>
      <rPr>
        <sz val="11"/>
        <rFont val="Calibri"/>
        <family val="2"/>
        <scheme val="minor"/>
      </rPr>
      <t xml:space="preserve"> Proportion of Spending on Local Suppliers (GRI 14.9.5)</t>
    </r>
  </si>
  <si>
    <r>
      <rPr>
        <b/>
        <sz val="11"/>
        <rFont val="Calibri"/>
        <family val="2"/>
        <scheme val="minor"/>
      </rPr>
      <t>SDI 2.5</t>
    </r>
    <r>
      <rPr>
        <sz val="11"/>
        <rFont val="Calibri"/>
        <family val="2"/>
        <scheme val="minor"/>
      </rPr>
      <t xml:space="preserve"> Taxation </t>
    </r>
    <r>
      <rPr>
        <b/>
        <sz val="12"/>
        <color rgb="FFFF0000"/>
        <rFont val="Calibri"/>
        <family val="2"/>
        <scheme val="minor"/>
      </rPr>
      <t>-</t>
    </r>
  </si>
  <si>
    <r>
      <rPr>
        <b/>
        <sz val="11"/>
        <rFont val="Calibri"/>
        <family val="2"/>
        <scheme val="minor"/>
      </rPr>
      <t>SDI 2.6</t>
    </r>
    <r>
      <rPr>
        <sz val="11"/>
        <rFont val="Calibri"/>
        <family val="2"/>
        <scheme val="minor"/>
      </rPr>
      <t xml:space="preserve"> Royalties </t>
    </r>
    <r>
      <rPr>
        <b/>
        <sz val="12"/>
        <color rgb="FFFF0000"/>
        <rFont val="Calibri"/>
        <family val="2"/>
        <scheme val="minor"/>
      </rPr>
      <t>-</t>
    </r>
  </si>
  <si>
    <t xml:space="preserve">yes, major econmic indicator and output for production schedules </t>
  </si>
  <si>
    <t xml:space="preserve">yes, relevant to the econmic impacts of the mine </t>
  </si>
  <si>
    <t xml:space="preserve">yes, quantitatively </t>
  </si>
  <si>
    <t>yes, from technical report summary</t>
  </si>
  <si>
    <t>yes, it is applicable at this stage of planning</t>
  </si>
  <si>
    <t>yes, it is relevant to the issue</t>
  </si>
  <si>
    <t xml:space="preserve">yes, it can be measured </t>
  </si>
  <si>
    <t xml:space="preserve">no, data needed to measure it are not available </t>
  </si>
  <si>
    <t>no, there is no accurate data to reflect our case study</t>
  </si>
  <si>
    <t>no, we cannot obtain it at this stage</t>
  </si>
  <si>
    <t xml:space="preserve">yes, from technical report summary, and Utah state's records </t>
  </si>
  <si>
    <t>yes, data comes from reliable and accurate sources</t>
  </si>
  <si>
    <t xml:space="preserve">yes, data comes from reliable and accurate sources </t>
  </si>
  <si>
    <t xml:space="preserve">partly, some data are missing </t>
  </si>
  <si>
    <t xml:space="preserve">yes, data comes from reliable and accurate sources such as technical report summary, and historical records </t>
  </si>
  <si>
    <t xml:space="preserve">yes, data are available </t>
  </si>
  <si>
    <t>partly, we don't have a detailed layout; therfore, we will use derived area estimates</t>
  </si>
  <si>
    <t>partly, we are using empirical scaling factors to derive pit and dumps areas</t>
  </si>
  <si>
    <t>Acid-generating Potential (AP) is a measure of the potential to generate acids (AP = % Sulfur x 31.25 [kg CaCO3/ton]</t>
  </si>
  <si>
    <t>tCO2e per tonne of ore processed</t>
  </si>
  <si>
    <t>Total GHG (tCO2e)/Ore(t)</t>
  </si>
  <si>
    <t xml:space="preserve">yes, it directly links emissions to output (ore processed), which is the main functional unit in mine planning </t>
  </si>
  <si>
    <t xml:space="preserve">partly, some assumptions should be made at this stage </t>
  </si>
  <si>
    <t>Mining energy = 12 kWh per tonne of total material moved (truck-and-shovel).
Processing energy = 13 kWh per tonne of ore processed (heap-leach + CIC).
These are generic factors representative of gold open-pit operations in the early design stage, applied uniformly to all schedules.</t>
  </si>
  <si>
    <t xml:space="preserve">partly, some data are not consistent </t>
  </si>
  <si>
    <t xml:space="preserve">[Fo*tonne moved + Fp*ore]; Fo and Fp are energy factors for mining and processing respectively. </t>
  </si>
  <si>
    <r>
      <rPr>
        <b/>
        <sz val="11"/>
        <rFont val="Calibri"/>
        <family val="2"/>
        <scheme val="minor"/>
      </rPr>
      <t>SDI 3.7</t>
    </r>
    <r>
      <rPr>
        <sz val="11"/>
        <rFont val="Calibri"/>
        <family val="2"/>
        <scheme val="minor"/>
      </rPr>
      <t xml:space="preserve"> GHG Intensity  </t>
    </r>
    <r>
      <rPr>
        <b/>
        <sz val="12"/>
        <color rgb="FFFF0000"/>
        <rFont val="Calibri"/>
        <family val="2"/>
        <scheme val="minor"/>
      </rPr>
      <t>-</t>
    </r>
    <r>
      <rPr>
        <sz val="11"/>
        <rFont val="Calibri"/>
        <family val="2"/>
        <scheme val="minor"/>
      </rPr>
      <t xml:space="preserve"> </t>
    </r>
  </si>
  <si>
    <r>
      <rPr>
        <b/>
        <sz val="11"/>
        <rFont val="Calibri"/>
        <family val="2"/>
        <scheme val="minor"/>
      </rPr>
      <t>SDI 4.8</t>
    </r>
    <r>
      <rPr>
        <sz val="11"/>
        <rFont val="Calibri"/>
        <family val="2"/>
        <scheme val="minor"/>
      </rPr>
      <t xml:space="preserve"> Energy consumption </t>
    </r>
    <r>
      <rPr>
        <b/>
        <sz val="12"/>
        <color rgb="FFFF0000"/>
        <rFont val="Calibri"/>
        <family val="2"/>
        <scheme val="minor"/>
      </rPr>
      <t>-</t>
    </r>
  </si>
  <si>
    <r>
      <rPr>
        <b/>
        <sz val="11"/>
        <rFont val="Calibri"/>
        <family val="2"/>
        <scheme val="minor"/>
      </rPr>
      <t>SDI 5.9</t>
    </r>
    <r>
      <rPr>
        <sz val="11"/>
        <rFont val="Calibri"/>
        <family val="2"/>
        <scheme val="minor"/>
      </rPr>
      <t xml:space="preserve"> Nitrogen oxides (NOx) </t>
    </r>
    <r>
      <rPr>
        <b/>
        <sz val="12"/>
        <color rgb="FFFF0000"/>
        <rFont val="Calibri"/>
        <family val="2"/>
        <scheme val="minor"/>
      </rPr>
      <t>-</t>
    </r>
  </si>
  <si>
    <r>
      <rPr>
        <b/>
        <sz val="11"/>
        <rFont val="Calibri"/>
        <family val="2"/>
        <scheme val="minor"/>
      </rPr>
      <t>SDI 5.10</t>
    </r>
    <r>
      <rPr>
        <sz val="11"/>
        <rFont val="Calibri"/>
        <family val="2"/>
        <scheme val="minor"/>
      </rPr>
      <t xml:space="preserve"> Particulate matter (PM10) </t>
    </r>
    <r>
      <rPr>
        <b/>
        <sz val="12"/>
        <color rgb="FFFF0000"/>
        <rFont val="Calibri"/>
        <family val="2"/>
        <scheme val="minor"/>
      </rPr>
      <t>-</t>
    </r>
  </si>
  <si>
    <t>GRI 14_Mining Sector 2025</t>
  </si>
  <si>
    <t>Quantifies the total nitrogen oxides (NOₓ) released from diesel combustion in mining equipment and haul trucks.</t>
  </si>
  <si>
    <t>Estimated using energy-based emission factors for diesel combustion. Mining energy consumption was modeled as 12 kWh per tonne of total material moved . The emission factor applied is 4.4 g NOₓ per kWh of diesel energy consumed</t>
  </si>
  <si>
    <t>Measures the total suspended particulate matter (PM₁₀) generated from mining activities such as drilling, loading, hauling, dumping, crushing, and leaching</t>
  </si>
  <si>
    <t>Estimated using activity-based emission factors representing dust generation during open-pit mining operations. Emission factors applied are 0.15 kg PM₁₀ per tonne of total material moved (mining and hauling) and 0.02 kg PM₁₀ per tonne of ore processed (crushing, heap leach stacking)</t>
  </si>
  <si>
    <t>GHG emission are of interest to the local community and us. It is a major SDI that can be improved over time by obtaining realistic data from the site. Assumptions made for GHG Intencity: Diesel (mining energy) = 0.267 kg CO₂e / kWh
Grid electricity (processing energy) = 0.40 kg CO₂e / kWh
Factors reflect average values for diesel engines and U.S. electricity mix (comparable to Utah grid).
All GHGs are expressed as CO₂ equivalents (t CO₂e).</t>
  </si>
  <si>
    <t>Indicator included. Quantified using  energy-based emission factors (4.4 g NOₓ per kWh of diesel energy) applied to modeled mining energy demand (12 kWh/t moved). Although detailed equipment data are unavailable, the factor provides a consistent basis for comparing schedules. Data availability is limited but sufficient for early-stage assessment.</t>
  </si>
  <si>
    <t>Indicator included. Estimated using  activity-based dust emission factors (0.15 kg PM₁₀/t moved; 0.02 kg PM₁₀/t ore) derived from EPA AP-42. Direct monitoring data are not available; however, the approach allows consistent relative evaluation of air-quality impacts across production schedules. Considered measurable and site-relevant for early-stage planning.</t>
  </si>
  <si>
    <t>Estimated as the total disturbed area (ha) multiplied by the mine life (years) to account for both the spatial extent and duration of land use.</t>
  </si>
  <si>
    <t>Indicator included. Estimated as the total disturbed area (ha) multiplied by the mine life (years) to account for both the spatial extent and duration of land use. Disturbed areas include pit, waste dump, and leach/tailings footprints derived from the hybrid case study assumptions. Although site-specific reclamation data are not available, land occupation is a fundamental and measurable sustainability metric that reflects long-term land use intensity. Considered applicable, mine-site relevant, and measurable with reasonable data availability and quality at this stage.</t>
  </si>
  <si>
    <r>
      <rPr>
        <b/>
        <sz val="11"/>
        <rFont val="Calibri"/>
        <family val="2"/>
        <scheme val="minor"/>
      </rPr>
      <t>SDI 6.11</t>
    </r>
    <r>
      <rPr>
        <sz val="11"/>
        <rFont val="Calibri"/>
        <family val="2"/>
        <scheme val="minor"/>
      </rPr>
      <t xml:space="preserve"> Land Occupation (ha.year) </t>
    </r>
    <r>
      <rPr>
        <b/>
        <sz val="12"/>
        <color rgb="FFFF0000"/>
        <rFont val="Calibri"/>
        <family val="2"/>
        <scheme val="minor"/>
      </rPr>
      <t>-</t>
    </r>
  </si>
  <si>
    <r>
      <rPr>
        <b/>
        <sz val="11"/>
        <color theme="1"/>
        <rFont val="Calibri"/>
        <family val="2"/>
        <scheme val="minor"/>
      </rPr>
      <t>SDI 7.12</t>
    </r>
    <r>
      <rPr>
        <sz val="11"/>
        <color theme="1"/>
        <rFont val="Calibri"/>
        <family val="2"/>
        <scheme val="minor"/>
      </rPr>
      <t xml:space="preserve"> Waste production (tonne) </t>
    </r>
    <r>
      <rPr>
        <b/>
        <sz val="12"/>
        <color rgb="FFFF0000"/>
        <rFont val="Calibri"/>
        <family val="2"/>
        <scheme val="minor"/>
      </rPr>
      <t>-</t>
    </r>
  </si>
  <si>
    <r>
      <rPr>
        <b/>
        <sz val="11"/>
        <rFont val="Calibri"/>
        <family val="2"/>
        <scheme val="minor"/>
      </rPr>
      <t>SDI 8.13</t>
    </r>
    <r>
      <rPr>
        <sz val="11"/>
        <rFont val="Calibri"/>
        <family val="2"/>
        <scheme val="minor"/>
      </rPr>
      <t xml:space="preserve"> Acid Rock Drainage (ARD) </t>
    </r>
    <r>
      <rPr>
        <b/>
        <sz val="12"/>
        <color rgb="FFFF0000"/>
        <rFont val="Calibri"/>
        <family val="2"/>
        <scheme val="minor"/>
      </rPr>
      <t>-</t>
    </r>
  </si>
  <si>
    <r>
      <rPr>
        <b/>
        <sz val="11"/>
        <color theme="1"/>
        <rFont val="Calibri"/>
        <family val="2"/>
        <scheme val="minor"/>
      </rPr>
      <t>SDI 9.14</t>
    </r>
    <r>
      <rPr>
        <sz val="11"/>
        <color theme="1"/>
        <rFont val="Calibri"/>
        <family val="2"/>
        <scheme val="minor"/>
      </rPr>
      <t xml:space="preserve"> Reclamation </t>
    </r>
    <r>
      <rPr>
        <b/>
        <sz val="12"/>
        <color rgb="FFFF0000"/>
        <rFont val="Calibri"/>
        <family val="2"/>
        <scheme val="minor"/>
      </rPr>
      <t xml:space="preserve">- </t>
    </r>
  </si>
  <si>
    <r>
      <rPr>
        <b/>
        <sz val="11"/>
        <color theme="1"/>
        <rFont val="Calibri"/>
        <family val="2"/>
        <scheme val="minor"/>
      </rPr>
      <t>SDI 10.15</t>
    </r>
    <r>
      <rPr>
        <sz val="11"/>
        <color theme="1"/>
        <rFont val="Calibri"/>
        <family val="2"/>
        <scheme val="minor"/>
      </rPr>
      <t xml:space="preserve"> Number of Employees </t>
    </r>
    <r>
      <rPr>
        <b/>
        <sz val="12"/>
        <color rgb="FFFF0000"/>
        <rFont val="Calibri"/>
        <family val="2"/>
        <scheme val="minor"/>
      </rPr>
      <t>+</t>
    </r>
  </si>
  <si>
    <r>
      <rPr>
        <b/>
        <sz val="11"/>
        <color theme="1"/>
        <rFont val="Calibri"/>
        <family val="2"/>
        <scheme val="minor"/>
      </rPr>
      <t>SDI 10.16</t>
    </r>
    <r>
      <rPr>
        <sz val="11"/>
        <color theme="1"/>
        <rFont val="Calibri"/>
        <family val="2"/>
        <scheme val="minor"/>
      </rPr>
      <t xml:space="preserve"> Job Security </t>
    </r>
    <r>
      <rPr>
        <b/>
        <sz val="12"/>
        <color rgb="FFFF0000"/>
        <rFont val="Calibri"/>
        <family val="2"/>
        <scheme val="minor"/>
      </rPr>
      <t>+</t>
    </r>
  </si>
  <si>
    <r>
      <rPr>
        <b/>
        <sz val="11"/>
        <color theme="1"/>
        <rFont val="Calibri"/>
        <family val="2"/>
        <scheme val="minor"/>
      </rPr>
      <t>SDI 11.17</t>
    </r>
    <r>
      <rPr>
        <sz val="11"/>
        <color theme="1"/>
        <rFont val="Calibri"/>
        <family val="2"/>
        <scheme val="minor"/>
      </rPr>
      <t xml:space="preserve"> GRI (14.12.2)</t>
    </r>
  </si>
  <si>
    <r>
      <rPr>
        <b/>
        <sz val="11"/>
        <color theme="1"/>
        <rFont val="Calibri"/>
        <family val="2"/>
        <scheme val="minor"/>
      </rPr>
      <t>SDI 11.18</t>
    </r>
    <r>
      <rPr>
        <sz val="11"/>
        <color theme="1"/>
        <rFont val="Calibri"/>
        <family val="2"/>
        <scheme val="minor"/>
      </rPr>
      <t xml:space="preserve"> GRI (14.12.3)</t>
    </r>
  </si>
  <si>
    <r>
      <rPr>
        <b/>
        <sz val="11"/>
        <color theme="1"/>
        <rFont val="Calibri"/>
        <family val="2"/>
        <scheme val="minor"/>
      </rPr>
      <t>SDI 11.19</t>
    </r>
    <r>
      <rPr>
        <sz val="11"/>
        <color theme="1"/>
        <rFont val="Calibri"/>
        <family val="2"/>
        <scheme val="minor"/>
      </rPr>
      <t xml:space="preserve"> Pit Utilization (%) </t>
    </r>
    <r>
      <rPr>
        <b/>
        <sz val="12"/>
        <color rgb="FFFF0000"/>
        <rFont val="Calibri"/>
        <family val="2"/>
        <scheme val="minor"/>
      </rPr>
      <t>+</t>
    </r>
  </si>
  <si>
    <r>
      <rPr>
        <b/>
        <sz val="11"/>
        <color theme="1"/>
        <rFont val="Calibri"/>
        <family val="2"/>
        <scheme val="minor"/>
      </rPr>
      <t>SDI 12.20</t>
    </r>
    <r>
      <rPr>
        <sz val="11"/>
        <color theme="1"/>
        <rFont val="Calibri"/>
        <family val="2"/>
        <scheme val="minor"/>
      </rPr>
      <t xml:space="preserve"> Operational safety </t>
    </r>
    <r>
      <rPr>
        <b/>
        <sz val="12"/>
        <color rgb="FFFF0000"/>
        <rFont val="Calibri"/>
        <family val="2"/>
        <scheme val="minor"/>
      </rPr>
      <t>-</t>
    </r>
    <r>
      <rPr>
        <sz val="11"/>
        <color theme="1"/>
        <rFont val="Calibri"/>
        <family val="2"/>
        <scheme val="minor"/>
      </rPr>
      <t xml:space="preserve"> </t>
    </r>
  </si>
  <si>
    <t>Indicator included. Estimated using the proportion of sulfide mineralization (25 %) from the hybrid case study geology and total mined tonnage from production schedules. Although direct static or kinetic test data are not available, the proxy provides a meaningful early-stage estimate of potential ARD risk. The indicator captures a key environmental concern for sulfide-bearing deposits and allows comparative assessment among schedules. Considered applicable, site-relevant, and measurable with acceptable data uncertainty for the strategic planning stage</t>
  </si>
  <si>
    <t>Estimated as the total tonnage of potentially acid-generating (PAG) material within the mined volume, considering the proportion of sulfide-bearing rock in the deposit</t>
  </si>
  <si>
    <t xml:space="preserve">partly, the indicator is measurable but based on secondary assumptions rather than site-specific figures </t>
  </si>
  <si>
    <t>partly, as the approach captures relative labor demand trends across schedules but lacks direct verification from operational or feasibility-level datasets</t>
  </si>
  <si>
    <t>Indicator included. The number of employees was estimated using scaling relationships with production rate, derived from industry averages and similar open-pit gold operations. Since detailed workforce data by department or shift were not available for the hybrid case study, a generalized employment factor (employees per Mt of ore or total material moved) was applied uniformly across schedules.</t>
  </si>
  <si>
    <t>SDI 2.5 (Taxation)</t>
  </si>
  <si>
    <t>SDI 2.6 (Royalties)</t>
  </si>
  <si>
    <t xml:space="preserve">SDI 3.7 GHG Intencity </t>
  </si>
  <si>
    <r>
      <rPr>
        <sz val="7"/>
        <rFont val="Times New Roman"/>
        <family val="1"/>
      </rPr>
      <t xml:space="preserve"> </t>
    </r>
    <r>
      <rPr>
        <sz val="11"/>
        <rFont val="Arial"/>
        <family val="2"/>
      </rPr>
      <t xml:space="preserve">SDI 5.9 Nitrogen oxides </t>
    </r>
    <r>
      <rPr>
        <sz val="11"/>
        <rFont val="Calibri"/>
        <family val="2"/>
        <scheme val="minor"/>
      </rPr>
      <t>(</t>
    </r>
    <r>
      <rPr>
        <sz val="11"/>
        <rFont val="Arial"/>
        <family val="2"/>
      </rPr>
      <t>NOx</t>
    </r>
    <r>
      <rPr>
        <sz val="11"/>
        <rFont val="Calibri"/>
        <family val="2"/>
        <scheme val="minor"/>
      </rPr>
      <t>)</t>
    </r>
  </si>
  <si>
    <t>SDI 5.10 PM10</t>
  </si>
  <si>
    <t>SDI 4.8 Energy consumption</t>
  </si>
  <si>
    <t>SDI 6.11 Land Occupation</t>
  </si>
  <si>
    <t>SDI 7.12 Waste production</t>
  </si>
  <si>
    <t>SDI 8.13 Acid Rock Drainage (ARD)</t>
  </si>
  <si>
    <t xml:space="preserve">SDI 9.14 Reclamation </t>
  </si>
  <si>
    <t>SDI 10.15 (Number of employees)</t>
  </si>
  <si>
    <t xml:space="preserve">SDI 10.16 (Job Security) </t>
  </si>
  <si>
    <t xml:space="preserve">SDI 11.19 (Pit Utilization) </t>
  </si>
  <si>
    <t xml:space="preserve">SDI 12.20 (Operational Safety) </t>
  </si>
  <si>
    <t xml:space="preserve">Conceptually relevant but excluded due to lack of reliable data; insufficient data availability and quality prevent meaningful evaluation. Therefore, it is excluded.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</si>
</sst>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9" x14ac:knownFonts="1">
    <font>
      <sz val="11"/>
      <color theme="1"/>
      <name val="Calibri"/>
      <family val="2"/>
      <scheme val="minor"/>
    </font>
    <font>
      <sz val="11"/>
      <color theme="1"/>
      <name val="Times New Roman"/>
      <family val="1"/>
    </font>
    <font>
      <b/>
      <sz val="12"/>
      <color theme="1"/>
      <name val="Times New Roman"/>
      <family val="1"/>
    </font>
    <font>
      <sz val="14"/>
      <color theme="1"/>
      <name val="Times New Roman"/>
      <family val="1"/>
    </font>
    <font>
      <vertAlign val="superscript"/>
      <sz val="14"/>
      <color theme="1"/>
      <name val="Times New Roman"/>
      <family val="1"/>
    </font>
    <font>
      <b/>
      <i/>
      <sz val="18"/>
      <color theme="1"/>
      <name val="Times New Roman"/>
      <family val="1"/>
    </font>
    <font>
      <b/>
      <sz val="18"/>
      <color theme="1"/>
      <name val="Times New Roman"/>
      <family val="1"/>
    </font>
    <font>
      <b/>
      <sz val="12"/>
      <color theme="1"/>
      <name val="Calibri"/>
      <family val="2"/>
      <scheme val="minor"/>
    </font>
    <font>
      <b/>
      <sz val="22"/>
      <color rgb="FFFF0000"/>
      <name val="Calibri"/>
      <family val="2"/>
      <scheme val="minor"/>
    </font>
    <font>
      <sz val="12"/>
      <color theme="1"/>
      <name val="Times New Roman"/>
      <family val="1"/>
    </font>
    <font>
      <b/>
      <sz val="11"/>
      <color rgb="FFFF0000"/>
      <name val="Times New Roman"/>
      <family val="1"/>
    </font>
    <font>
      <b/>
      <sz val="11"/>
      <color theme="1"/>
      <name val="Calibri"/>
      <family val="2"/>
      <scheme val="minor"/>
    </font>
    <font>
      <sz val="11"/>
      <name val="Calibri"/>
      <family val="2"/>
      <scheme val="minor"/>
    </font>
    <font>
      <sz val="9"/>
      <color indexed="81"/>
      <name val="Tahoma"/>
      <charset val="1"/>
    </font>
    <font>
      <b/>
      <sz val="9"/>
      <color indexed="81"/>
      <name val="Tahoma"/>
      <charset val="1"/>
    </font>
    <font>
      <sz val="11"/>
      <color rgb="FFFF0000"/>
      <name val="Times New Roman"/>
      <family val="1"/>
    </font>
    <font>
      <b/>
      <sz val="16"/>
      <color theme="1"/>
      <name val="Calibri"/>
      <family val="2"/>
      <scheme val="minor"/>
    </font>
    <font>
      <sz val="8"/>
      <name val="Calibri"/>
      <family val="2"/>
      <scheme val="minor"/>
    </font>
    <font>
      <b/>
      <sz val="14"/>
      <color theme="1"/>
      <name val="Times New Roman"/>
      <family val="1"/>
    </font>
    <font>
      <sz val="11"/>
      <color theme="1"/>
      <name val="Calibri"/>
      <family val="2"/>
      <scheme val="minor"/>
    </font>
    <font>
      <sz val="9"/>
      <color indexed="81"/>
      <name val="Tahoma"/>
      <family val="2"/>
    </font>
    <font>
      <b/>
      <sz val="9"/>
      <color indexed="81"/>
      <name val="Tahoma"/>
      <family val="2"/>
    </font>
    <font>
      <sz val="9"/>
      <color indexed="81"/>
      <name val="Tahoma"/>
    </font>
    <font>
      <b/>
      <sz val="9"/>
      <color indexed="81"/>
      <name val="Tahoma"/>
    </font>
    <font>
      <b/>
      <sz val="11"/>
      <name val="Calibri"/>
      <family val="2"/>
      <scheme val="minor"/>
    </font>
    <font>
      <b/>
      <sz val="12"/>
      <color rgb="FFFF0000"/>
      <name val="Calibri"/>
      <family val="2"/>
      <scheme val="minor"/>
    </font>
    <font>
      <sz val="7"/>
      <name val="Times New Roman"/>
      <family val="1"/>
    </font>
    <font>
      <sz val="11"/>
      <name val="Arial"/>
      <family val="2"/>
    </font>
    <font>
      <sz val="11"/>
      <name val="Calibri"/>
      <family val="1"/>
      <scheme val="minor"/>
    </font>
  </fonts>
  <fills count="14">
    <fill>
      <patternFill patternType="none"/>
    </fill>
    <fill>
      <patternFill patternType="gray125"/>
    </fill>
    <fill>
      <patternFill patternType="solid">
        <fgColor theme="5" tint="0.39997558519241921"/>
        <bgColor indexed="64"/>
      </patternFill>
    </fill>
    <fill>
      <patternFill patternType="solid">
        <fgColor theme="9" tint="0.39997558519241921"/>
        <bgColor indexed="64"/>
      </patternFill>
    </fill>
    <fill>
      <patternFill patternType="solid">
        <fgColor theme="3" tint="0.39997558519241921"/>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rgb="FF2ECC71"/>
        <bgColor indexed="64"/>
      </patternFill>
    </fill>
    <fill>
      <patternFill patternType="solid">
        <fgColor rgb="FFE74C3C"/>
        <bgColor indexed="64"/>
      </patternFill>
    </fill>
    <fill>
      <patternFill patternType="solid">
        <fgColor theme="6" tint="0.59999389629810485"/>
        <bgColor indexed="64"/>
      </patternFill>
    </fill>
    <fill>
      <patternFill patternType="solid">
        <fgColor theme="4"/>
        <bgColor indexed="64"/>
      </patternFill>
    </fill>
    <fill>
      <patternFill patternType="solid">
        <fgColor theme="9" tint="0.59999389629810485"/>
        <bgColor indexed="64"/>
      </patternFill>
    </fill>
  </fills>
  <borders count="20">
    <border>
      <left/>
      <right/>
      <top/>
      <bottom/>
      <diagonal/>
    </border>
    <border>
      <left style="thin">
        <color auto="1"/>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s>
  <cellStyleXfs count="2">
    <xf numFmtId="0" fontId="0" fillId="0" borderId="0"/>
    <xf numFmtId="43" fontId="19" fillId="0" borderId="0" applyFont="0" applyFill="0" applyBorder="0" applyAlignment="0" applyProtection="0"/>
  </cellStyleXfs>
  <cellXfs count="94">
    <xf numFmtId="0" fontId="0" fillId="0" borderId="0" xfId="0"/>
    <xf numFmtId="0" fontId="1" fillId="0" borderId="0" xfId="0" applyFont="1"/>
    <xf numFmtId="0" fontId="6" fillId="0" borderId="0" xfId="0" applyFont="1" applyAlignment="1">
      <alignment horizontal="left" vertical="center" wrapText="1"/>
    </xf>
    <xf numFmtId="0" fontId="5" fillId="0" borderId="0" xfId="0" applyFont="1" applyAlignment="1">
      <alignment horizontal="left" vertical="center"/>
    </xf>
    <xf numFmtId="0" fontId="1" fillId="0" borderId="0" xfId="0" applyFont="1" applyAlignment="1">
      <alignment horizontal="left" vertical="center"/>
    </xf>
    <xf numFmtId="0" fontId="3" fillId="0" borderId="0" xfId="0" applyFont="1" applyAlignment="1">
      <alignment vertical="center"/>
    </xf>
    <xf numFmtId="0" fontId="2" fillId="0" borderId="0" xfId="0" applyFont="1" applyAlignment="1">
      <alignment horizontal="left" vertical="center"/>
    </xf>
    <xf numFmtId="0" fontId="1" fillId="0" borderId="0" xfId="0" applyFont="1" applyAlignment="1">
      <alignment wrapText="1"/>
    </xf>
    <xf numFmtId="0" fontId="2" fillId="0" borderId="0" xfId="0" applyFont="1" applyAlignment="1">
      <alignment vertical="center" wrapText="1"/>
    </xf>
    <xf numFmtId="0" fontId="0" fillId="0" borderId="2" xfId="0" applyBorder="1"/>
    <xf numFmtId="0" fontId="12" fillId="0" borderId="2" xfId="0" applyFont="1" applyBorder="1" applyAlignment="1">
      <alignment vertical="top" wrapText="1"/>
    </xf>
    <xf numFmtId="0" fontId="15" fillId="0" borderId="0" xfId="0" applyFont="1"/>
    <xf numFmtId="0" fontId="7" fillId="4" borderId="2" xfId="0" applyFont="1" applyFill="1" applyBorder="1" applyAlignment="1">
      <alignment wrapText="1"/>
    </xf>
    <xf numFmtId="0" fontId="7" fillId="2" borderId="2" xfId="0" applyFont="1" applyFill="1" applyBorder="1"/>
    <xf numFmtId="0" fontId="7" fillId="3" borderId="2" xfId="0" applyFont="1" applyFill="1" applyBorder="1"/>
    <xf numFmtId="0" fontId="7" fillId="5" borderId="2" xfId="0" applyFont="1" applyFill="1" applyBorder="1"/>
    <xf numFmtId="0" fontId="0" fillId="0" borderId="2" xfId="0" applyBorder="1" applyAlignment="1">
      <alignment wrapText="1"/>
    </xf>
    <xf numFmtId="0" fontId="11" fillId="0" borderId="2" xfId="0" applyFont="1" applyBorder="1" applyAlignment="1">
      <alignment horizontal="center" vertical="top"/>
    </xf>
    <xf numFmtId="0" fontId="0" fillId="0" borderId="0" xfId="0" applyAlignment="1">
      <alignment horizontal="right"/>
    </xf>
    <xf numFmtId="0" fontId="11" fillId="0" borderId="6" xfId="0" applyFont="1" applyBorder="1" applyAlignment="1">
      <alignment horizontal="center" vertical="top"/>
    </xf>
    <xf numFmtId="3" fontId="0" fillId="0" borderId="0" xfId="0" applyNumberFormat="1"/>
    <xf numFmtId="3" fontId="0" fillId="0" borderId="0" xfId="0" applyNumberFormat="1" applyAlignment="1">
      <alignment vertical="center" wrapText="1"/>
    </xf>
    <xf numFmtId="0" fontId="0" fillId="0" borderId="0" xfId="0" applyAlignment="1">
      <alignment vertical="center" wrapText="1"/>
    </xf>
    <xf numFmtId="0" fontId="12" fillId="8" borderId="2" xfId="0" applyFont="1" applyFill="1" applyBorder="1" applyAlignment="1">
      <alignment vertical="top" wrapText="1"/>
    </xf>
    <xf numFmtId="0" fontId="1" fillId="0" borderId="0" xfId="0" applyFont="1" applyAlignment="1">
      <alignment vertical="top" wrapText="1"/>
    </xf>
    <xf numFmtId="0" fontId="18" fillId="0" borderId="0" xfId="0" applyFont="1" applyAlignment="1">
      <alignment horizontal="center"/>
    </xf>
    <xf numFmtId="0" fontId="9" fillId="0" borderId="0" xfId="0" applyFont="1" applyAlignment="1">
      <alignment horizontal="center" vertical="center" wrapText="1"/>
    </xf>
    <xf numFmtId="0" fontId="18" fillId="0" borderId="16" xfId="0" applyFont="1" applyBorder="1" applyAlignment="1">
      <alignment horizontal="center"/>
    </xf>
    <xf numFmtId="0" fontId="9" fillId="0" borderId="2" xfId="0" applyFont="1" applyBorder="1" applyAlignment="1">
      <alignment horizontal="center" vertical="center" wrapText="1"/>
    </xf>
    <xf numFmtId="0" fontId="11" fillId="0" borderId="0" xfId="0" applyFont="1" applyAlignment="1">
      <alignment horizontal="center"/>
    </xf>
    <xf numFmtId="0" fontId="11" fillId="0" borderId="2" xfId="0" applyFont="1" applyBorder="1"/>
    <xf numFmtId="0" fontId="0" fillId="0" borderId="2" xfId="0" applyBorder="1" applyAlignment="1">
      <alignment horizontal="left" vertical="center"/>
    </xf>
    <xf numFmtId="0" fontId="0" fillId="0" borderId="2" xfId="0" applyBorder="1" applyAlignment="1">
      <alignment horizontal="left" vertical="top" wrapText="1"/>
    </xf>
    <xf numFmtId="0" fontId="0" fillId="12" borderId="2" xfId="0" applyFill="1" applyBorder="1"/>
    <xf numFmtId="0" fontId="12" fillId="12" borderId="2" xfId="0" applyFont="1" applyFill="1" applyBorder="1" applyAlignment="1">
      <alignment vertical="top" wrapText="1"/>
    </xf>
    <xf numFmtId="0" fontId="12" fillId="13" borderId="2" xfId="0" applyFont="1" applyFill="1" applyBorder="1" applyAlignment="1">
      <alignment vertical="top" wrapText="1"/>
    </xf>
    <xf numFmtId="0" fontId="0" fillId="7" borderId="2" xfId="0" applyFill="1" applyBorder="1"/>
    <xf numFmtId="0" fontId="12" fillId="7" borderId="2" xfId="0" applyFont="1" applyFill="1" applyBorder="1" applyAlignment="1">
      <alignment vertical="top" wrapText="1"/>
    </xf>
    <xf numFmtId="0" fontId="0" fillId="0" borderId="0" xfId="0" applyAlignment="1">
      <alignment vertical="top" wrapText="1"/>
    </xf>
    <xf numFmtId="0" fontId="12" fillId="11" borderId="2" xfId="0" applyFont="1" applyFill="1" applyBorder="1" applyAlignment="1">
      <alignment vertical="top" wrapText="1"/>
    </xf>
    <xf numFmtId="0" fontId="0" fillId="9" borderId="2" xfId="0" applyFill="1" applyBorder="1"/>
    <xf numFmtId="3" fontId="0" fillId="0" borderId="2" xfId="0" applyNumberFormat="1" applyBorder="1"/>
    <xf numFmtId="3" fontId="0" fillId="0" borderId="2" xfId="0" applyNumberFormat="1" applyBorder="1" applyAlignment="1">
      <alignment vertical="center" wrapText="1"/>
    </xf>
    <xf numFmtId="0" fontId="0" fillId="10" borderId="2" xfId="0" applyFill="1" applyBorder="1"/>
    <xf numFmtId="43" fontId="0" fillId="0" borderId="2" xfId="1" applyFont="1" applyBorder="1" applyAlignment="1">
      <alignment horizontal="right"/>
    </xf>
    <xf numFmtId="0" fontId="0" fillId="0" borderId="2" xfId="0" applyBorder="1" applyAlignment="1">
      <alignment vertical="center" wrapText="1"/>
    </xf>
    <xf numFmtId="0" fontId="0" fillId="0" borderId="2" xfId="0" applyBorder="1" applyAlignment="1">
      <alignment horizontal="right"/>
    </xf>
    <xf numFmtId="0" fontId="0" fillId="9" borderId="2" xfId="0" applyFill="1" applyBorder="1" applyAlignment="1">
      <alignment wrapText="1"/>
    </xf>
    <xf numFmtId="0" fontId="7" fillId="0" borderId="1" xfId="0" applyFont="1" applyBorder="1" applyAlignment="1">
      <alignment vertical="center"/>
    </xf>
    <xf numFmtId="0" fontId="0" fillId="0" borderId="1" xfId="0" applyBorder="1"/>
    <xf numFmtId="0" fontId="0" fillId="0" borderId="11" xfId="0" applyBorder="1"/>
    <xf numFmtId="3" fontId="0" fillId="0" borderId="11" xfId="0" applyNumberFormat="1" applyBorder="1"/>
    <xf numFmtId="43" fontId="0" fillId="0" borderId="11" xfId="1" applyFont="1" applyBorder="1" applyAlignment="1">
      <alignment horizontal="right"/>
    </xf>
    <xf numFmtId="0" fontId="0" fillId="0" borderId="11" xfId="0" applyBorder="1" applyAlignment="1">
      <alignment horizontal="right"/>
    </xf>
    <xf numFmtId="0" fontId="0" fillId="9" borderId="18" xfId="0" applyFill="1" applyBorder="1"/>
    <xf numFmtId="0" fontId="0" fillId="10" borderId="18" xfId="0" applyFill="1" applyBorder="1"/>
    <xf numFmtId="0" fontId="0" fillId="0" borderId="18" xfId="0" applyBorder="1"/>
    <xf numFmtId="0" fontId="7" fillId="0" borderId="18" xfId="0" applyFont="1" applyBorder="1" applyAlignment="1">
      <alignment vertical="center"/>
    </xf>
    <xf numFmtId="0" fontId="0" fillId="10" borderId="18" xfId="0" applyFill="1" applyBorder="1" applyAlignment="1">
      <alignment wrapText="1"/>
    </xf>
    <xf numFmtId="0" fontId="0" fillId="10" borderId="19" xfId="0" applyFill="1" applyBorder="1" applyAlignment="1">
      <alignment wrapText="1"/>
    </xf>
    <xf numFmtId="0" fontId="11" fillId="0" borderId="11" xfId="0" applyFont="1" applyBorder="1"/>
    <xf numFmtId="0" fontId="12" fillId="0" borderId="0" xfId="0" applyFont="1" applyAlignment="1">
      <alignment vertical="top" wrapText="1"/>
    </xf>
    <xf numFmtId="3" fontId="0" fillId="0" borderId="2" xfId="0" applyNumberFormat="1" applyBorder="1" applyAlignment="1">
      <alignment horizontal="right" vertical="center" wrapText="1"/>
    </xf>
    <xf numFmtId="0" fontId="0" fillId="0" borderId="2" xfId="0" applyBorder="1" applyAlignment="1">
      <alignment vertical="top" wrapText="1"/>
    </xf>
    <xf numFmtId="0" fontId="28" fillId="10" borderId="2" xfId="0" applyFont="1" applyFill="1" applyBorder="1"/>
    <xf numFmtId="0" fontId="9" fillId="0" borderId="0" xfId="0" applyFont="1" applyAlignment="1">
      <alignment horizontal="center" vertical="center" wrapText="1"/>
    </xf>
    <xf numFmtId="0" fontId="18" fillId="0" borderId="0" xfId="0" applyFont="1" applyAlignment="1">
      <alignment horizontal="center"/>
    </xf>
    <xf numFmtId="0" fontId="9" fillId="0" borderId="0" xfId="0" applyFont="1" applyAlignment="1">
      <alignment horizontal="center" vertical="top" wrapText="1"/>
    </xf>
    <xf numFmtId="9" fontId="9" fillId="0" borderId="0" xfId="0" applyNumberFormat="1" applyFont="1" applyAlignment="1">
      <alignment horizontal="center" vertical="center" wrapText="1"/>
    </xf>
    <xf numFmtId="0" fontId="16" fillId="6" borderId="7" xfId="0" applyFont="1" applyFill="1" applyBorder="1" applyAlignment="1">
      <alignment horizontal="center"/>
    </xf>
    <xf numFmtId="0" fontId="0" fillId="6" borderId="8" xfId="0" applyFill="1" applyBorder="1" applyAlignment="1">
      <alignment horizontal="center"/>
    </xf>
    <xf numFmtId="0" fontId="0" fillId="6" borderId="9" xfId="0" applyFill="1" applyBorder="1" applyAlignment="1">
      <alignment horizontal="center"/>
    </xf>
    <xf numFmtId="0" fontId="16" fillId="6" borderId="8" xfId="0" applyFont="1" applyFill="1" applyBorder="1" applyAlignment="1">
      <alignment horizontal="center"/>
    </xf>
    <xf numFmtId="0" fontId="18" fillId="0" borderId="13" xfId="0" applyFont="1" applyBorder="1" applyAlignment="1">
      <alignment horizontal="center"/>
    </xf>
    <xf numFmtId="0" fontId="18" fillId="0" borderId="14" xfId="0" applyFont="1" applyBorder="1" applyAlignment="1">
      <alignment horizontal="center"/>
    </xf>
    <xf numFmtId="0" fontId="18" fillId="0" borderId="15" xfId="0" applyFont="1" applyBorder="1" applyAlignment="1">
      <alignment horizontal="center"/>
    </xf>
    <xf numFmtId="0" fontId="9" fillId="0" borderId="1"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18" fillId="0" borderId="3" xfId="0" applyFont="1" applyBorder="1" applyAlignment="1">
      <alignment horizontal="center"/>
    </xf>
    <xf numFmtId="0" fontId="18" fillId="0" borderId="12" xfId="0" applyFont="1" applyBorder="1" applyAlignment="1">
      <alignment horizontal="center"/>
    </xf>
    <xf numFmtId="0" fontId="18" fillId="0" borderId="17" xfId="0" applyFont="1" applyBorder="1" applyAlignment="1">
      <alignment horizontal="center"/>
    </xf>
    <xf numFmtId="0" fontId="9" fillId="0" borderId="1" xfId="0" applyFont="1" applyBorder="1" applyAlignment="1">
      <alignment horizontal="center" vertical="top" wrapText="1"/>
    </xf>
    <xf numFmtId="0" fontId="9" fillId="0" borderId="10" xfId="0" applyFont="1" applyBorder="1" applyAlignment="1">
      <alignment horizontal="center" vertical="top" wrapText="1"/>
    </xf>
    <xf numFmtId="0" fontId="9" fillId="0" borderId="11" xfId="0" applyFont="1" applyBorder="1" applyAlignment="1">
      <alignment horizontal="center" vertical="top" wrapText="1"/>
    </xf>
    <xf numFmtId="9" fontId="9" fillId="0" borderId="1" xfId="0" applyNumberFormat="1" applyFont="1" applyBorder="1" applyAlignment="1">
      <alignment horizontal="center" vertical="center" wrapText="1"/>
    </xf>
    <xf numFmtId="9" fontId="9" fillId="0" borderId="10" xfId="0" applyNumberFormat="1" applyFont="1" applyBorder="1" applyAlignment="1">
      <alignment horizontal="center" vertical="center" wrapText="1"/>
    </xf>
    <xf numFmtId="9" fontId="9" fillId="0" borderId="11" xfId="0" applyNumberFormat="1" applyFont="1" applyBorder="1" applyAlignment="1">
      <alignment horizontal="center" vertical="center" wrapText="1"/>
    </xf>
    <xf numFmtId="0" fontId="8" fillId="0" borderId="4" xfId="0" applyFont="1" applyBorder="1" applyAlignment="1">
      <alignment horizontal="center" vertical="center" textRotation="90"/>
    </xf>
    <xf numFmtId="0" fontId="8" fillId="0" borderId="5" xfId="0" applyFont="1" applyBorder="1" applyAlignment="1">
      <alignment horizontal="center" vertical="center" textRotation="90"/>
    </xf>
    <xf numFmtId="0" fontId="11" fillId="0" borderId="0" xfId="0" applyFont="1" applyAlignment="1">
      <alignment horizontal="center"/>
    </xf>
    <xf numFmtId="0" fontId="11" fillId="0" borderId="1" xfId="0" applyFont="1" applyBorder="1" applyAlignment="1">
      <alignment horizontal="center"/>
    </xf>
    <xf numFmtId="0" fontId="11" fillId="0" borderId="10" xfId="0" applyFont="1" applyBorder="1" applyAlignment="1">
      <alignment horizontal="center"/>
    </xf>
    <xf numFmtId="0" fontId="11" fillId="0" borderId="11" xfId="0" applyFont="1" applyBorder="1" applyAlignment="1">
      <alignment horizontal="center"/>
    </xf>
  </cellXfs>
  <cellStyles count="2">
    <cellStyle name="Comma" xfId="1" builtinId="3"/>
    <cellStyle name="Normal" xfId="0" builtinId="0"/>
  </cellStyles>
  <dxfs count="55">
    <dxf>
      <fill>
        <patternFill>
          <bgColor rgb="FFF1C40F"/>
        </patternFill>
      </fill>
    </dxf>
    <dxf>
      <fill>
        <patternFill>
          <bgColor rgb="FF2ECC71"/>
        </patternFill>
      </fill>
    </dxf>
    <dxf>
      <fill>
        <patternFill>
          <bgColor rgb="FFE74C3C"/>
        </patternFill>
      </fill>
    </dxf>
    <dxf>
      <fill>
        <patternFill>
          <bgColor rgb="FFF1C40F"/>
        </patternFill>
      </fill>
    </dxf>
    <dxf>
      <fill>
        <patternFill>
          <bgColor rgb="FFE74C3C"/>
        </patternFill>
      </fill>
    </dxf>
    <dxf>
      <fill>
        <patternFill>
          <bgColor rgb="FF2ECC71"/>
        </patternFill>
      </fill>
    </dxf>
    <dxf>
      <fill>
        <patternFill>
          <bgColor rgb="FFF1C40F"/>
        </patternFill>
      </fill>
    </dxf>
    <dxf>
      <fill>
        <patternFill>
          <bgColor rgb="FFE74C3C"/>
        </patternFill>
      </fill>
    </dxf>
    <dxf>
      <fill>
        <patternFill>
          <bgColor rgb="FF2ECC71"/>
        </patternFill>
      </fill>
    </dxf>
    <dxf>
      <fill>
        <patternFill>
          <bgColor rgb="FFE74C3C"/>
        </patternFill>
      </fill>
    </dxf>
    <dxf>
      <fill>
        <patternFill>
          <bgColor rgb="FF2ECC71"/>
        </patternFill>
      </fill>
    </dxf>
    <dxf>
      <fill>
        <patternFill>
          <bgColor rgb="FFF1C40F"/>
        </patternFill>
      </fill>
    </dxf>
    <dxf>
      <fill>
        <patternFill>
          <bgColor rgb="FF2ECC71"/>
        </patternFill>
      </fill>
    </dxf>
    <dxf>
      <fill>
        <patternFill>
          <bgColor rgb="FFE74C3C"/>
        </patternFill>
      </fill>
    </dxf>
    <dxf>
      <fill>
        <patternFill>
          <bgColor rgb="FFF1C40F"/>
        </patternFill>
      </fill>
    </dxf>
    <dxf>
      <fill>
        <patternFill>
          <bgColor rgb="FFF1C40F"/>
        </patternFill>
      </fill>
    </dxf>
    <dxf>
      <fill>
        <patternFill>
          <bgColor rgb="FF2ECC71"/>
        </patternFill>
      </fill>
    </dxf>
    <dxf>
      <fill>
        <patternFill>
          <bgColor rgb="FFE74C3C"/>
        </patternFill>
      </fill>
    </dxf>
    <dxf>
      <fill>
        <patternFill>
          <bgColor rgb="FFE74C3C"/>
        </patternFill>
      </fill>
    </dxf>
    <dxf>
      <fill>
        <patternFill>
          <bgColor rgb="FFF1C40F"/>
        </patternFill>
      </fill>
    </dxf>
    <dxf>
      <fill>
        <patternFill>
          <bgColor rgb="FF2ECC71"/>
        </patternFill>
      </fill>
    </dxf>
    <dxf>
      <fill>
        <patternFill>
          <bgColor rgb="FFF1C40F"/>
        </patternFill>
      </fill>
    </dxf>
    <dxf>
      <fill>
        <patternFill>
          <bgColor rgb="FF2ECC71"/>
        </patternFill>
      </fill>
    </dxf>
    <dxf>
      <fill>
        <patternFill>
          <bgColor rgb="FFE74C3C"/>
        </patternFill>
      </fill>
    </dxf>
    <dxf>
      <fill>
        <patternFill>
          <bgColor rgb="FFE74C3C"/>
        </patternFill>
      </fill>
    </dxf>
    <dxf>
      <fill>
        <patternFill>
          <bgColor rgb="FF2ECC71"/>
        </patternFill>
      </fill>
    </dxf>
    <dxf>
      <fill>
        <patternFill>
          <bgColor rgb="FFF1C40F"/>
        </patternFill>
      </fill>
    </dxf>
    <dxf>
      <fill>
        <patternFill>
          <bgColor rgb="FFE74C3C"/>
        </patternFill>
      </fill>
    </dxf>
    <dxf>
      <fill>
        <patternFill>
          <bgColor rgb="FF2ECC71"/>
        </patternFill>
      </fill>
    </dxf>
    <dxf>
      <fill>
        <patternFill>
          <bgColor rgb="FFE74C3C"/>
        </patternFill>
      </fill>
    </dxf>
    <dxf>
      <fill>
        <patternFill>
          <bgColor rgb="FF2ECC71"/>
        </patternFill>
      </fill>
    </dxf>
    <dxf>
      <fill>
        <patternFill>
          <bgColor rgb="FF2ECC71"/>
        </patternFill>
      </fill>
    </dxf>
    <dxf>
      <fill>
        <patternFill>
          <bgColor rgb="FFE74C3C"/>
        </patternFill>
      </fill>
    </dxf>
    <dxf>
      <fill>
        <patternFill>
          <bgColor rgb="FFE74C3C"/>
        </patternFill>
      </fill>
    </dxf>
    <dxf>
      <fill>
        <patternFill>
          <bgColor rgb="FF2ECC71"/>
        </patternFill>
      </fill>
    </dxf>
    <dxf>
      <font>
        <b val="0"/>
        <i val="0"/>
        <strike val="0"/>
        <condense val="0"/>
        <extend val="0"/>
        <outline val="0"/>
        <shadow val="0"/>
        <u val="none"/>
        <vertAlign val="baseline"/>
        <sz val="11"/>
        <color auto="1"/>
        <name val="Calibri"/>
        <family val="2"/>
        <scheme val="minor"/>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outline="0">
        <left/>
        <right style="thin">
          <color indexed="64"/>
        </right>
        <top style="thin">
          <color auto="1"/>
        </top>
        <bottom style="thin">
          <color auto="1"/>
        </bottom>
      </border>
    </dxf>
    <dxf>
      <font>
        <b val="0"/>
        <i val="0"/>
        <strike val="0"/>
        <condense val="0"/>
        <extend val="0"/>
        <outline val="0"/>
        <shadow val="0"/>
        <u val="none"/>
        <vertAlign val="baseline"/>
        <sz val="11"/>
        <color auto="1"/>
        <name val="Calibri"/>
        <family val="2"/>
        <scheme val="minor"/>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strike val="0"/>
        <condense val="0"/>
        <extend val="0"/>
        <outline val="0"/>
        <shadow val="0"/>
        <u val="none"/>
        <vertAlign val="baseline"/>
        <sz val="11"/>
        <color theme="1"/>
        <name val="Calibri"/>
        <family val="2"/>
        <scheme val="minor"/>
      </font>
      <border diagonalUp="0" diagonalDown="0" outline="0">
        <left/>
        <right/>
        <top/>
        <bottom style="thin">
          <color auto="1"/>
        </bottom>
      </border>
    </dxf>
    <dxf>
      <font>
        <b val="0"/>
        <i val="0"/>
        <strike val="0"/>
        <condense val="0"/>
        <extend val="0"/>
        <outline val="0"/>
        <shadow val="0"/>
        <u val="none"/>
        <vertAlign val="baseline"/>
        <sz val="11"/>
        <color auto="1"/>
        <name val="Calibri"/>
        <family val="2"/>
        <scheme val="minor"/>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strike val="0"/>
        <condense val="0"/>
        <extend val="0"/>
        <outline val="0"/>
        <shadow val="0"/>
        <u val="none"/>
        <vertAlign val="baseline"/>
        <sz val="11"/>
        <color theme="1"/>
        <name val="Calibri"/>
        <family val="2"/>
        <scheme val="minor"/>
      </font>
      <border diagonalUp="0" diagonalDown="0" outline="0">
        <left style="thin">
          <color auto="1"/>
        </left>
        <right/>
        <top/>
        <bottom style="thin">
          <color auto="1"/>
        </bottom>
      </border>
    </dxf>
    <dxf>
      <font>
        <b val="0"/>
        <i val="0"/>
        <strike val="0"/>
        <condense val="0"/>
        <extend val="0"/>
        <outline val="0"/>
        <shadow val="0"/>
        <u val="none"/>
        <vertAlign val="baseline"/>
        <sz val="11"/>
        <color auto="1"/>
        <name val="Calibri"/>
        <family val="2"/>
        <scheme val="minor"/>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strike val="0"/>
        <condense val="0"/>
        <extend val="0"/>
        <outline val="0"/>
        <shadow val="0"/>
        <u val="none"/>
        <vertAlign val="baseline"/>
        <sz val="11"/>
        <color theme="1"/>
        <name val="Calibri"/>
        <family val="2"/>
        <scheme val="minor"/>
      </font>
      <border diagonalUp="0" diagonalDown="0" outline="0">
        <left/>
        <right/>
        <top/>
        <bottom style="thin">
          <color auto="1"/>
        </bottom>
      </border>
    </dxf>
    <dxf>
      <font>
        <b val="0"/>
        <i val="0"/>
        <strike val="0"/>
        <condense val="0"/>
        <extend val="0"/>
        <outline val="0"/>
        <shadow val="0"/>
        <u val="none"/>
        <vertAlign val="baseline"/>
        <sz val="11"/>
        <color auto="1"/>
        <name val="Calibri"/>
        <family val="2"/>
        <scheme val="minor"/>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strike val="0"/>
        <condense val="0"/>
        <extend val="0"/>
        <outline val="0"/>
        <shadow val="0"/>
        <u val="none"/>
        <vertAlign val="baseline"/>
        <sz val="11"/>
        <color theme="1"/>
        <name val="Calibri"/>
        <family val="2"/>
        <scheme val="minor"/>
      </font>
      <border diagonalUp="0" diagonalDown="0" outline="0">
        <left style="thin">
          <color auto="1"/>
        </left>
        <right/>
        <top/>
        <bottom style="thin">
          <color auto="1"/>
        </bottom>
      </border>
    </dxf>
    <dxf>
      <font>
        <b val="0"/>
        <i val="0"/>
        <strike val="0"/>
        <condense val="0"/>
        <extend val="0"/>
        <outline val="0"/>
        <shadow val="0"/>
        <u val="none"/>
        <vertAlign val="baseline"/>
        <sz val="11"/>
        <color auto="1"/>
        <name val="Calibri"/>
        <family val="2"/>
        <scheme val="minor"/>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strike val="0"/>
        <condense val="0"/>
        <extend val="0"/>
        <outline val="0"/>
        <shadow val="0"/>
        <u val="none"/>
        <vertAlign val="baseline"/>
        <sz val="11"/>
        <color theme="1"/>
        <name val="Calibri"/>
        <family val="2"/>
        <scheme val="minor"/>
      </font>
      <border diagonalUp="0" diagonalDown="0" outline="0">
        <left/>
        <right/>
        <top/>
        <bottom style="thin">
          <color auto="1"/>
        </bottom>
      </border>
    </dxf>
    <dxf>
      <font>
        <b val="0"/>
        <i val="0"/>
        <strike val="0"/>
        <condense val="0"/>
        <extend val="0"/>
        <outline val="0"/>
        <shadow val="0"/>
        <u val="none"/>
        <vertAlign val="baseline"/>
        <sz val="11"/>
        <color auto="1"/>
        <name val="Calibri"/>
        <family val="2"/>
        <scheme val="minor"/>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strike val="0"/>
        <condense val="0"/>
        <extend val="0"/>
        <outline val="0"/>
        <shadow val="0"/>
        <u val="none"/>
        <vertAlign val="baseline"/>
        <sz val="11"/>
        <color theme="1"/>
        <name val="Calibri"/>
        <family val="2"/>
        <scheme val="minor"/>
      </font>
      <border diagonalUp="0" diagonalDown="0" outline="0">
        <left style="thin">
          <color auto="1"/>
        </left>
        <right/>
        <top/>
        <bottom style="thin">
          <color auto="1"/>
        </bottom>
      </border>
    </dxf>
    <dxf>
      <font>
        <b val="0"/>
        <i val="0"/>
        <strike val="0"/>
        <condense val="0"/>
        <extend val="0"/>
        <outline val="0"/>
        <shadow val="0"/>
        <u val="none"/>
        <vertAlign val="baseline"/>
        <sz val="11"/>
        <color auto="1"/>
        <name val="Calibri"/>
        <family val="2"/>
        <scheme val="minor"/>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auto="1"/>
        </left>
        <right/>
        <top style="thin">
          <color auto="1"/>
        </top>
        <bottom style="thin">
          <color auto="1"/>
        </bottom>
      </border>
    </dxf>
  </dxfs>
  <tableStyles count="0" defaultTableStyle="TableStyleMedium2" defaultPivotStyle="PivotStyleLight16"/>
  <colors>
    <mruColors>
      <color rgb="FFE74C3C"/>
      <color rgb="FF2ECC71"/>
      <color rgb="FFF1C4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1304925</xdr:colOff>
      <xdr:row>26</xdr:row>
      <xdr:rowOff>85725</xdr:rowOff>
    </xdr:from>
    <xdr:to>
      <xdr:col>1</xdr:col>
      <xdr:colOff>1524000</xdr:colOff>
      <xdr:row>27</xdr:row>
      <xdr:rowOff>0</xdr:rowOff>
    </xdr:to>
    <xdr:pic>
      <xdr:nvPicPr>
        <xdr:cNvPr id="2" name="Picture 1">
          <a:extLst>
            <a:ext uri="{FF2B5EF4-FFF2-40B4-BE49-F238E27FC236}">
              <a16:creationId xmlns:a16="http://schemas.microsoft.com/office/drawing/2014/main" id="{20AFC294-E8F9-4079-85A4-76283EE72827}"/>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5840075" y="4248150"/>
          <a:ext cx="21907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EE9922-0C70-4C28-BF0F-C71DFD7F4263}" name="Criteria" displayName="Criteria" ref="B5:M71" headerRowCount="0" totalsRowShown="0">
  <tableColumns count="12">
    <tableColumn id="1" xr3:uid="{C7FDF5E7-FA59-4171-A483-3353A32ABE8A}" name="Column2" headerRowDxfId="54" dataDxfId="53"/>
    <tableColumn id="2" xr3:uid="{B9145FC6-C448-4EF4-877E-8117D120A14B}" name="Column5" dataDxfId="52"/>
    <tableColumn id="3" xr3:uid="{BF3AFB28-8C80-4E69-A054-4B93316F59F0}" name="Column6" dataDxfId="51"/>
    <tableColumn id="4" xr3:uid="{38358775-CA69-420D-821E-A710D4E0900D}" name="Column7" dataDxfId="50"/>
    <tableColumn id="5" xr3:uid="{290D9291-62DA-4391-A90D-88C6EED2AA5A}" name="Column8" dataDxfId="49"/>
    <tableColumn id="6" xr3:uid="{CA1D58AC-461A-4ED3-BFFB-18494F072D47}" name="1" headerRowDxfId="48" dataDxfId="47"/>
    <tableColumn id="7" xr3:uid="{766BF38B-483A-47C9-A876-53789243D596}" name="2" headerRowDxfId="46" dataDxfId="45"/>
    <tableColumn id="8" xr3:uid="{3233FF78-C165-44B4-9FDA-D1D460AD08EB}" name="3" headerRowDxfId="44" dataDxfId="43"/>
    <tableColumn id="9" xr3:uid="{AFE65A5F-FB86-4D82-B391-EF4EBBFCE9D0}" name="4" headerRowDxfId="42" dataDxfId="41"/>
    <tableColumn id="10" xr3:uid="{4E635475-24BF-4FA1-BC83-35EFF61A4A3B}" name="5" headerRowDxfId="40" dataDxfId="39"/>
    <tableColumn id="11" xr3:uid="{8F27902A-E0E8-4720-AF16-1B43F1C28B90}" name="7" headerRowDxfId="38" dataDxfId="37"/>
    <tableColumn id="12" xr3:uid="{F60E1426-9199-4FF3-9771-E994CBF0D435}" name="Column1" headerRowDxfId="36" dataDxfId="3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G19"/>
  <sheetViews>
    <sheetView showGridLines="0" zoomScaleNormal="100" workbookViewId="0">
      <selection activeCell="B6" sqref="B6"/>
    </sheetView>
  </sheetViews>
  <sheetFormatPr defaultRowHeight="15" x14ac:dyDescent="0.25"/>
  <cols>
    <col min="1" max="1" width="90.42578125" customWidth="1"/>
    <col min="2" max="2" width="74.28515625" customWidth="1"/>
    <col min="4" max="4" width="44.140625" customWidth="1"/>
    <col min="5" max="5" width="24" customWidth="1"/>
  </cols>
  <sheetData>
    <row r="2" spans="1:7" ht="15.75" x14ac:dyDescent="0.25">
      <c r="D2" s="8"/>
    </row>
    <row r="3" spans="1:7" ht="15.75" x14ac:dyDescent="0.25">
      <c r="D3" s="8" t="s">
        <v>14</v>
      </c>
    </row>
    <row r="4" spans="1:7" ht="230.25" customHeight="1" x14ac:dyDescent="0.25">
      <c r="A4" s="2" t="s">
        <v>0</v>
      </c>
      <c r="B4" s="24" t="s">
        <v>1</v>
      </c>
      <c r="D4" s="24" t="s">
        <v>20</v>
      </c>
    </row>
    <row r="5" spans="1:7" ht="30.75" x14ac:dyDescent="0.3">
      <c r="A5" s="3"/>
      <c r="B5" s="7" t="s">
        <v>2</v>
      </c>
      <c r="D5" s="66"/>
      <c r="E5" s="66"/>
      <c r="F5" s="66"/>
      <c r="G5" s="66"/>
    </row>
    <row r="6" spans="1:7" ht="18.75" x14ac:dyDescent="0.3">
      <c r="A6" s="4"/>
      <c r="D6" s="25"/>
      <c r="E6" s="66"/>
      <c r="F6" s="66"/>
      <c r="G6" s="66"/>
    </row>
    <row r="7" spans="1:7" ht="22.5" x14ac:dyDescent="0.25">
      <c r="A7" s="5" t="s">
        <v>78</v>
      </c>
      <c r="D7" s="26"/>
      <c r="E7" s="67"/>
      <c r="F7" s="67"/>
      <c r="G7" s="67"/>
    </row>
    <row r="8" spans="1:7" ht="15.75" x14ac:dyDescent="0.25">
      <c r="D8" s="26"/>
      <c r="E8" s="65"/>
      <c r="F8" s="65"/>
      <c r="G8" s="65"/>
    </row>
    <row r="9" spans="1:7" ht="15.75" x14ac:dyDescent="0.25">
      <c r="D9" s="26"/>
      <c r="E9" s="65"/>
      <c r="F9" s="65"/>
      <c r="G9" s="65"/>
    </row>
    <row r="10" spans="1:7" ht="15.75" x14ac:dyDescent="0.25">
      <c r="A10" s="1" t="s">
        <v>3</v>
      </c>
      <c r="D10" s="26"/>
      <c r="E10" s="68"/>
      <c r="F10" s="68"/>
      <c r="G10" s="68"/>
    </row>
    <row r="11" spans="1:7" ht="15.75" x14ac:dyDescent="0.25">
      <c r="A11" s="1" t="s">
        <v>4</v>
      </c>
      <c r="D11" s="26"/>
      <c r="E11" s="65"/>
      <c r="F11" s="65"/>
      <c r="G11" s="65"/>
    </row>
    <row r="12" spans="1:7" ht="15.75" x14ac:dyDescent="0.25">
      <c r="A12" s="1" t="s">
        <v>75</v>
      </c>
      <c r="D12" s="26"/>
      <c r="E12" s="65"/>
      <c r="F12" s="65"/>
      <c r="G12" s="65"/>
    </row>
    <row r="13" spans="1:7" x14ac:dyDescent="0.25">
      <c r="A13" s="1" t="s">
        <v>76</v>
      </c>
    </row>
    <row r="14" spans="1:7" x14ac:dyDescent="0.25">
      <c r="A14" s="1" t="s">
        <v>77</v>
      </c>
    </row>
    <row r="16" spans="1:7" ht="15.75" x14ac:dyDescent="0.25">
      <c r="A16" s="6" t="s">
        <v>5</v>
      </c>
    </row>
    <row r="17" spans="1:1" x14ac:dyDescent="0.25">
      <c r="A17" s="11" t="s">
        <v>81</v>
      </c>
    </row>
    <row r="18" spans="1:1" x14ac:dyDescent="0.25">
      <c r="A18" s="11" t="s">
        <v>86</v>
      </c>
    </row>
    <row r="19" spans="1:1" x14ac:dyDescent="0.25">
      <c r="A19" s="11" t="s">
        <v>87</v>
      </c>
    </row>
  </sheetData>
  <mergeCells count="8">
    <mergeCell ref="E11:G11"/>
    <mergeCell ref="E12:G12"/>
    <mergeCell ref="D5:G5"/>
    <mergeCell ref="E6:G6"/>
    <mergeCell ref="E7:G7"/>
    <mergeCell ref="E8:G8"/>
    <mergeCell ref="E9:G9"/>
    <mergeCell ref="E10:G10"/>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4CA99-105F-4041-A12C-BB303545B715}">
  <sheetPr codeName="Sheet2">
    <tabColor rgb="FF7030A0"/>
  </sheetPr>
  <dimension ref="A1:M32"/>
  <sheetViews>
    <sheetView workbookViewId="0">
      <selection activeCell="H26" sqref="H26"/>
    </sheetView>
  </sheetViews>
  <sheetFormatPr defaultRowHeight="15" x14ac:dyDescent="0.25"/>
  <cols>
    <col min="1" max="1" width="17.28515625" customWidth="1"/>
    <col min="2" max="2" width="11.42578125" bestFit="1" customWidth="1"/>
    <col min="3" max="3" width="24.7109375" bestFit="1" customWidth="1"/>
    <col min="4" max="4" width="31" bestFit="1" customWidth="1"/>
    <col min="5" max="5" width="12.7109375" bestFit="1" customWidth="1"/>
    <col min="6" max="6" width="15" bestFit="1" customWidth="1"/>
    <col min="7" max="7" width="11.42578125" bestFit="1" customWidth="1"/>
    <col min="8" max="8" width="13.85546875" bestFit="1" customWidth="1"/>
    <col min="9" max="9" width="16.42578125" bestFit="1" customWidth="1"/>
    <col min="12" max="12" width="12.140625" bestFit="1" customWidth="1"/>
    <col min="13" max="13" width="11.140625" bestFit="1" customWidth="1"/>
  </cols>
  <sheetData>
    <row r="1" spans="1:13" ht="34.5" customHeight="1" thickBot="1" x14ac:dyDescent="0.4">
      <c r="A1" s="69" t="s">
        <v>33</v>
      </c>
      <c r="B1" s="70"/>
      <c r="C1" s="70"/>
      <c r="D1" s="71"/>
      <c r="E1" s="69" t="s">
        <v>34</v>
      </c>
      <c r="F1" s="72"/>
      <c r="G1" s="72"/>
      <c r="H1" s="72"/>
      <c r="I1" s="72"/>
    </row>
    <row r="2" spans="1:13" x14ac:dyDescent="0.25">
      <c r="A2" s="19" t="s">
        <v>22</v>
      </c>
      <c r="B2" s="19" t="s">
        <v>23</v>
      </c>
      <c r="C2" s="19" t="s">
        <v>24</v>
      </c>
      <c r="D2" s="19" t="s">
        <v>25</v>
      </c>
      <c r="E2" s="17" t="s">
        <v>26</v>
      </c>
      <c r="F2" s="17" t="s">
        <v>32</v>
      </c>
      <c r="G2" s="17" t="s">
        <v>59</v>
      </c>
      <c r="H2" s="17" t="s">
        <v>60</v>
      </c>
      <c r="I2" s="17" t="s">
        <v>61</v>
      </c>
    </row>
    <row r="3" spans="1:13" x14ac:dyDescent="0.25">
      <c r="A3" t="s">
        <v>35</v>
      </c>
      <c r="B3">
        <v>500</v>
      </c>
      <c r="C3" s="18" t="s">
        <v>27</v>
      </c>
      <c r="D3" s="18">
        <v>8</v>
      </c>
      <c r="E3" s="20">
        <v>4809760922</v>
      </c>
      <c r="F3">
        <v>32</v>
      </c>
      <c r="G3" s="20">
        <v>201868800</v>
      </c>
      <c r="H3" s="20">
        <v>207585280</v>
      </c>
      <c r="I3" s="22">
        <v>77.8</v>
      </c>
    </row>
    <row r="4" spans="1:13" x14ac:dyDescent="0.25">
      <c r="A4" t="s">
        <v>36</v>
      </c>
      <c r="B4">
        <v>550</v>
      </c>
      <c r="C4" s="18" t="s">
        <v>28</v>
      </c>
      <c r="D4" s="18">
        <v>8</v>
      </c>
      <c r="E4" s="20">
        <v>5018792537</v>
      </c>
      <c r="F4">
        <v>33</v>
      </c>
      <c r="G4" s="20">
        <v>216491520</v>
      </c>
      <c r="H4" s="20">
        <v>239124480</v>
      </c>
      <c r="I4">
        <v>77.400000000000006</v>
      </c>
      <c r="M4" s="20"/>
    </row>
    <row r="5" spans="1:13" x14ac:dyDescent="0.25">
      <c r="A5" t="s">
        <v>37</v>
      </c>
      <c r="B5">
        <v>600</v>
      </c>
      <c r="C5" s="18">
        <v>15</v>
      </c>
      <c r="D5" s="18" t="s">
        <v>29</v>
      </c>
      <c r="E5" s="21">
        <v>5201056007</v>
      </c>
      <c r="F5" s="20">
        <v>32</v>
      </c>
      <c r="G5" s="21">
        <v>219345920</v>
      </c>
      <c r="H5" s="20">
        <v>251328000</v>
      </c>
      <c r="I5">
        <v>77.2</v>
      </c>
      <c r="M5" s="20"/>
    </row>
    <row r="6" spans="1:13" x14ac:dyDescent="0.25">
      <c r="A6" t="s">
        <v>38</v>
      </c>
      <c r="B6">
        <v>650</v>
      </c>
      <c r="C6" s="18">
        <v>16</v>
      </c>
      <c r="D6" s="18">
        <v>9</v>
      </c>
      <c r="E6" s="21">
        <v>5361754112</v>
      </c>
      <c r="F6" s="20">
        <v>29</v>
      </c>
      <c r="G6" s="21">
        <v>214991360</v>
      </c>
      <c r="H6" s="20">
        <v>234923520</v>
      </c>
      <c r="I6">
        <v>77.400000000000006</v>
      </c>
      <c r="M6" s="20"/>
    </row>
    <row r="7" spans="1:13" x14ac:dyDescent="0.25">
      <c r="A7" t="s">
        <v>39</v>
      </c>
      <c r="B7">
        <v>700</v>
      </c>
      <c r="C7" s="18">
        <v>17</v>
      </c>
      <c r="D7" s="18">
        <v>10</v>
      </c>
      <c r="E7" s="21">
        <v>5512221017</v>
      </c>
      <c r="F7" s="20">
        <v>25</v>
      </c>
      <c r="G7" s="20">
        <v>201868800</v>
      </c>
      <c r="H7" s="20">
        <v>207585280</v>
      </c>
      <c r="I7" s="22">
        <v>77.8</v>
      </c>
      <c r="M7" s="20"/>
    </row>
    <row r="8" spans="1:13" x14ac:dyDescent="0.25">
      <c r="A8" t="s">
        <v>40</v>
      </c>
      <c r="B8">
        <v>750</v>
      </c>
      <c r="C8" s="18">
        <v>18</v>
      </c>
      <c r="D8" s="18">
        <v>9</v>
      </c>
      <c r="E8" s="21">
        <v>5133792702</v>
      </c>
      <c r="F8" s="20">
        <v>27</v>
      </c>
      <c r="G8" s="21">
        <v>207610880</v>
      </c>
      <c r="H8" s="20">
        <v>222999040</v>
      </c>
      <c r="I8">
        <v>77.599999999999994</v>
      </c>
      <c r="M8" s="20"/>
    </row>
    <row r="9" spans="1:13" x14ac:dyDescent="0.25">
      <c r="A9" t="s">
        <v>41</v>
      </c>
      <c r="B9">
        <v>800</v>
      </c>
      <c r="C9" s="18">
        <v>19</v>
      </c>
      <c r="D9" s="18">
        <v>11</v>
      </c>
      <c r="E9" s="21">
        <v>5827784401</v>
      </c>
      <c r="F9" s="20">
        <v>26</v>
      </c>
      <c r="G9" s="21">
        <v>221834240</v>
      </c>
      <c r="H9" s="20">
        <v>259366400</v>
      </c>
      <c r="I9">
        <v>77.099999999999994</v>
      </c>
      <c r="M9" s="20"/>
    </row>
    <row r="10" spans="1:13" x14ac:dyDescent="0.25">
      <c r="A10" t="s">
        <v>42</v>
      </c>
      <c r="B10">
        <v>850</v>
      </c>
      <c r="C10" s="18">
        <v>16</v>
      </c>
      <c r="D10" s="18">
        <v>9</v>
      </c>
      <c r="E10" s="21">
        <v>5168519533</v>
      </c>
      <c r="F10" s="20">
        <v>28</v>
      </c>
      <c r="G10" s="21">
        <v>210396160</v>
      </c>
      <c r="H10" s="20">
        <v>226795520</v>
      </c>
      <c r="I10">
        <v>77.5</v>
      </c>
      <c r="M10" s="20"/>
    </row>
    <row r="11" spans="1:13" x14ac:dyDescent="0.25">
      <c r="A11" t="s">
        <v>43</v>
      </c>
      <c r="B11">
        <v>900</v>
      </c>
      <c r="C11" s="18">
        <v>17</v>
      </c>
      <c r="D11" s="18" t="s">
        <v>30</v>
      </c>
      <c r="E11" s="21">
        <v>5420460050</v>
      </c>
      <c r="F11" s="20">
        <v>28</v>
      </c>
      <c r="G11" s="21">
        <v>222028800</v>
      </c>
      <c r="H11" s="20">
        <v>259752960</v>
      </c>
      <c r="I11">
        <v>77.099999999999994</v>
      </c>
      <c r="M11" s="20"/>
    </row>
    <row r="12" spans="1:13" x14ac:dyDescent="0.25">
      <c r="A12" t="s">
        <v>44</v>
      </c>
      <c r="B12">
        <v>950</v>
      </c>
      <c r="C12" s="18" t="s">
        <v>31</v>
      </c>
      <c r="D12" s="18">
        <v>11.4</v>
      </c>
      <c r="E12" s="21">
        <v>5664812407</v>
      </c>
      <c r="F12" s="20">
        <v>27</v>
      </c>
      <c r="G12" s="21">
        <v>224619520</v>
      </c>
      <c r="H12" s="20">
        <v>273262080</v>
      </c>
      <c r="I12">
        <v>76.900000000000006</v>
      </c>
      <c r="M12" s="20"/>
    </row>
    <row r="13" spans="1:13" x14ac:dyDescent="0.25">
      <c r="A13" t="s">
        <v>45</v>
      </c>
      <c r="B13">
        <v>1000</v>
      </c>
      <c r="C13" s="18">
        <v>21</v>
      </c>
      <c r="D13" s="18">
        <v>21</v>
      </c>
      <c r="E13" s="21">
        <v>6078485765</v>
      </c>
      <c r="F13" s="20">
        <v>21</v>
      </c>
      <c r="G13" s="21">
        <v>209082880</v>
      </c>
      <c r="H13" s="20">
        <v>225313280</v>
      </c>
      <c r="I13">
        <v>77.5</v>
      </c>
      <c r="M13" s="20"/>
    </row>
    <row r="14" spans="1:13" x14ac:dyDescent="0.25">
      <c r="A14" t="s">
        <v>46</v>
      </c>
      <c r="B14">
        <v>1050</v>
      </c>
      <c r="C14" s="18">
        <v>15</v>
      </c>
      <c r="D14" s="18">
        <v>15</v>
      </c>
      <c r="E14" s="21">
        <v>4862429821</v>
      </c>
      <c r="F14" s="20">
        <v>26</v>
      </c>
      <c r="G14" s="21">
        <v>196840960</v>
      </c>
      <c r="H14" s="20">
        <v>199329280</v>
      </c>
      <c r="I14">
        <v>77.900000000000006</v>
      </c>
      <c r="M14" s="20"/>
    </row>
    <row r="15" spans="1:13" x14ac:dyDescent="0.25">
      <c r="A15" t="s">
        <v>47</v>
      </c>
      <c r="B15">
        <v>1100</v>
      </c>
      <c r="C15" s="18">
        <v>22</v>
      </c>
      <c r="D15" s="18">
        <v>22</v>
      </c>
      <c r="E15" s="21">
        <v>6227350167</v>
      </c>
      <c r="F15" s="20">
        <v>21</v>
      </c>
      <c r="G15" s="21">
        <v>217456640</v>
      </c>
      <c r="H15" s="20">
        <v>242869760</v>
      </c>
      <c r="I15">
        <v>77.3</v>
      </c>
      <c r="M15" s="20"/>
    </row>
    <row r="16" spans="1:13" x14ac:dyDescent="0.25">
      <c r="A16" t="s">
        <v>48</v>
      </c>
      <c r="B16">
        <v>1150</v>
      </c>
      <c r="C16" s="18">
        <v>23</v>
      </c>
      <c r="D16" s="18">
        <v>23</v>
      </c>
      <c r="E16" s="21">
        <v>6114125967</v>
      </c>
      <c r="F16" s="20">
        <v>24</v>
      </c>
      <c r="G16" s="21">
        <v>233448960</v>
      </c>
      <c r="H16" s="20">
        <v>313587200</v>
      </c>
      <c r="I16">
        <v>76.2</v>
      </c>
      <c r="M16" s="20"/>
    </row>
    <row r="17" spans="1:13" x14ac:dyDescent="0.25">
      <c r="A17" t="s">
        <v>49</v>
      </c>
      <c r="B17">
        <v>1200</v>
      </c>
      <c r="C17" s="18">
        <v>18</v>
      </c>
      <c r="D17" s="18">
        <v>18</v>
      </c>
      <c r="E17" s="21">
        <v>4631449151</v>
      </c>
      <c r="F17" s="20">
        <v>31</v>
      </c>
      <c r="G17" s="21">
        <v>228718080</v>
      </c>
      <c r="H17" s="20">
        <v>288058880</v>
      </c>
      <c r="I17">
        <v>76.7</v>
      </c>
      <c r="M17" s="20"/>
    </row>
    <row r="18" spans="1:13" x14ac:dyDescent="0.25">
      <c r="A18" t="s">
        <v>50</v>
      </c>
      <c r="B18">
        <v>1250</v>
      </c>
      <c r="C18" s="18">
        <v>24</v>
      </c>
      <c r="D18" s="18">
        <v>24</v>
      </c>
      <c r="E18" s="21">
        <v>6257761820</v>
      </c>
      <c r="F18" s="20">
        <v>20</v>
      </c>
      <c r="G18" s="21">
        <v>219345920</v>
      </c>
      <c r="H18" s="20">
        <v>251328000</v>
      </c>
      <c r="I18">
        <v>77.2</v>
      </c>
      <c r="M18" s="20"/>
    </row>
    <row r="19" spans="1:13" x14ac:dyDescent="0.25">
      <c r="A19" t="s">
        <v>51</v>
      </c>
      <c r="B19">
        <v>1300</v>
      </c>
      <c r="C19" s="18">
        <v>17</v>
      </c>
      <c r="D19" s="18">
        <v>17</v>
      </c>
      <c r="E19" s="21">
        <v>4878255504</v>
      </c>
      <c r="F19" s="20">
        <v>28</v>
      </c>
      <c r="G19" s="21">
        <v>218833920</v>
      </c>
      <c r="H19" s="20">
        <v>249971200</v>
      </c>
      <c r="I19">
        <v>77.2</v>
      </c>
      <c r="M19" s="20"/>
    </row>
    <row r="20" spans="1:13" x14ac:dyDescent="0.25">
      <c r="A20" t="s">
        <v>52</v>
      </c>
      <c r="B20">
        <v>1350</v>
      </c>
      <c r="C20" s="18">
        <v>18</v>
      </c>
      <c r="D20" s="18">
        <v>18</v>
      </c>
      <c r="E20" s="21">
        <v>4430906697</v>
      </c>
      <c r="F20" s="20">
        <v>34</v>
      </c>
      <c r="G20" s="21">
        <v>235650560</v>
      </c>
      <c r="H20" s="20">
        <v>337075200</v>
      </c>
      <c r="I20">
        <v>75.599999999999994</v>
      </c>
      <c r="M20" s="20"/>
    </row>
    <row r="21" spans="1:13" x14ac:dyDescent="0.25">
      <c r="A21" t="s">
        <v>53</v>
      </c>
      <c r="B21">
        <v>1400</v>
      </c>
      <c r="C21" s="18">
        <v>19</v>
      </c>
      <c r="D21" s="18">
        <v>19</v>
      </c>
      <c r="E21" s="21">
        <v>5141492728</v>
      </c>
      <c r="F21" s="20">
        <v>26</v>
      </c>
      <c r="G21" s="21">
        <v>221009920</v>
      </c>
      <c r="H21" s="20">
        <v>256655360</v>
      </c>
      <c r="I21">
        <v>77.099999999999994</v>
      </c>
      <c r="M21" s="20"/>
    </row>
    <row r="22" spans="1:13" x14ac:dyDescent="0.25">
      <c r="A22" t="s">
        <v>54</v>
      </c>
      <c r="B22">
        <v>1500</v>
      </c>
      <c r="C22" s="18">
        <v>16</v>
      </c>
      <c r="D22" s="18">
        <v>16</v>
      </c>
      <c r="E22" s="21">
        <v>4480046314</v>
      </c>
      <c r="F22" s="20">
        <v>31</v>
      </c>
      <c r="G22" s="21">
        <v>223674880</v>
      </c>
      <c r="H22" s="20">
        <v>268154880</v>
      </c>
      <c r="I22">
        <v>77</v>
      </c>
      <c r="M22" s="20"/>
    </row>
    <row r="23" spans="1:13" x14ac:dyDescent="0.25">
      <c r="M23" s="20"/>
    </row>
    <row r="25" spans="1:13" ht="19.5" thickBot="1" x14ac:dyDescent="0.35">
      <c r="A25" s="73" t="s">
        <v>63</v>
      </c>
      <c r="B25" s="74"/>
      <c r="C25" s="74"/>
      <c r="D25" s="75"/>
    </row>
    <row r="26" spans="1:13" ht="18.75" x14ac:dyDescent="0.3">
      <c r="A26" s="27" t="s">
        <v>64</v>
      </c>
      <c r="B26" s="79" t="s">
        <v>65</v>
      </c>
      <c r="C26" s="80"/>
      <c r="D26" s="81"/>
    </row>
    <row r="27" spans="1:13" ht="15.75" x14ac:dyDescent="0.25">
      <c r="A27" s="28" t="s">
        <v>66</v>
      </c>
      <c r="B27" s="82">
        <v>55</v>
      </c>
      <c r="C27" s="83"/>
      <c r="D27" s="84"/>
    </row>
    <row r="28" spans="1:13" ht="15.75" x14ac:dyDescent="0.25">
      <c r="A28" s="28" t="s">
        <v>67</v>
      </c>
      <c r="B28" s="76" t="s">
        <v>68</v>
      </c>
      <c r="C28" s="77"/>
      <c r="D28" s="78"/>
    </row>
    <row r="29" spans="1:13" ht="31.5" x14ac:dyDescent="0.25">
      <c r="A29" s="28" t="s">
        <v>69</v>
      </c>
      <c r="B29" s="76" t="s">
        <v>70</v>
      </c>
      <c r="C29" s="77"/>
      <c r="D29" s="78"/>
    </row>
    <row r="30" spans="1:13" ht="31.5" x14ac:dyDescent="0.25">
      <c r="A30" s="28" t="s">
        <v>71</v>
      </c>
      <c r="B30" s="85">
        <v>0.82</v>
      </c>
      <c r="C30" s="86"/>
      <c r="D30" s="87"/>
    </row>
    <row r="31" spans="1:13" ht="15.75" x14ac:dyDescent="0.25">
      <c r="A31" s="28" t="s">
        <v>72</v>
      </c>
      <c r="B31" s="76" t="s">
        <v>82</v>
      </c>
      <c r="C31" s="77"/>
      <c r="D31" s="78"/>
    </row>
    <row r="32" spans="1:13" ht="15.75" x14ac:dyDescent="0.25">
      <c r="A32" s="28" t="s">
        <v>73</v>
      </c>
      <c r="B32" s="76" t="s">
        <v>74</v>
      </c>
      <c r="C32" s="77"/>
      <c r="D32" s="78"/>
    </row>
  </sheetData>
  <mergeCells count="10">
    <mergeCell ref="A1:D1"/>
    <mergeCell ref="E1:I1"/>
    <mergeCell ref="A25:D25"/>
    <mergeCell ref="B31:D31"/>
    <mergeCell ref="B32:D32"/>
    <mergeCell ref="B26:D26"/>
    <mergeCell ref="B27:D27"/>
    <mergeCell ref="B28:D28"/>
    <mergeCell ref="B29:D29"/>
    <mergeCell ref="B30:D30"/>
  </mergeCells>
  <phoneticPr fontId="17"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A587F-120E-4FBF-87D1-010C515B77BC}">
  <sheetPr codeName="Sheet3">
    <tabColor theme="4" tint="0.59999389629810485"/>
  </sheetPr>
  <dimension ref="A1:M71"/>
  <sheetViews>
    <sheetView tabSelected="1" zoomScale="70" zoomScaleNormal="70" workbookViewId="0">
      <pane xSplit="4" topLeftCell="E1" activePane="topRight" state="frozen"/>
      <selection pane="topRight" activeCell="G7" sqref="G7"/>
    </sheetView>
  </sheetViews>
  <sheetFormatPr defaultRowHeight="15" x14ac:dyDescent="0.25"/>
  <cols>
    <col min="1" max="1" width="33.85546875" customWidth="1"/>
    <col min="2" max="2" width="27.140625" customWidth="1"/>
    <col min="3" max="3" width="32.42578125" bestFit="1" customWidth="1"/>
    <col min="4" max="4" width="19.7109375" bestFit="1" customWidth="1"/>
    <col min="5" max="5" width="25" bestFit="1" customWidth="1"/>
    <col min="6" max="6" width="21.28515625" customWidth="1"/>
    <col min="7" max="7" width="24.28515625" bestFit="1" customWidth="1"/>
    <col min="8" max="8" width="21.140625" bestFit="1" customWidth="1"/>
    <col min="9" max="9" width="23.140625" bestFit="1" customWidth="1"/>
    <col min="10" max="10" width="16" bestFit="1" customWidth="1"/>
    <col min="11" max="11" width="21.28515625" customWidth="1"/>
    <col min="12" max="12" width="25.42578125" customWidth="1"/>
    <col min="13" max="13" width="33.42578125" customWidth="1"/>
  </cols>
  <sheetData>
    <row r="1" spans="1:13" ht="15.75" customHeight="1" x14ac:dyDescent="0.25"/>
    <row r="3" spans="1:13" x14ac:dyDescent="0.25">
      <c r="A3" s="30" t="s">
        <v>6</v>
      </c>
      <c r="B3" s="29"/>
      <c r="C3" s="29"/>
      <c r="D3" s="29"/>
      <c r="E3" s="29"/>
      <c r="F3" s="29"/>
      <c r="G3" s="29"/>
      <c r="H3" s="90"/>
      <c r="I3" s="90"/>
      <c r="J3" s="90"/>
      <c r="K3" s="90"/>
      <c r="L3" s="29"/>
      <c r="M3" s="29"/>
    </row>
    <row r="4" spans="1:13" x14ac:dyDescent="0.25">
      <c r="A4" s="88" t="s">
        <v>8</v>
      </c>
      <c r="B4" s="91" t="s">
        <v>58</v>
      </c>
      <c r="C4" s="92"/>
      <c r="D4" s="92"/>
      <c r="E4" s="92"/>
      <c r="F4" s="92"/>
      <c r="G4" s="92"/>
      <c r="H4" s="91" t="s">
        <v>7</v>
      </c>
      <c r="I4" s="92"/>
      <c r="J4" s="93"/>
      <c r="K4" s="91" t="s">
        <v>91</v>
      </c>
      <c r="L4" s="92"/>
      <c r="M4" s="93"/>
    </row>
    <row r="5" spans="1:13" ht="51" customHeight="1" x14ac:dyDescent="0.25">
      <c r="A5" s="88"/>
      <c r="B5" s="12" t="s">
        <v>55</v>
      </c>
      <c r="C5" s="12" t="s">
        <v>9</v>
      </c>
      <c r="D5" s="12" t="s">
        <v>62</v>
      </c>
      <c r="E5" s="12" t="s">
        <v>18</v>
      </c>
      <c r="F5" s="12" t="s">
        <v>19</v>
      </c>
      <c r="G5" s="12" t="s">
        <v>57</v>
      </c>
      <c r="H5" s="13" t="s">
        <v>13</v>
      </c>
      <c r="I5" s="13" t="s">
        <v>21</v>
      </c>
      <c r="J5" s="13" t="s">
        <v>12</v>
      </c>
      <c r="K5" s="14" t="s">
        <v>11</v>
      </c>
      <c r="L5" s="14" t="s">
        <v>10</v>
      </c>
      <c r="M5" s="15" t="s">
        <v>79</v>
      </c>
    </row>
    <row r="6" spans="1:13" ht="60" x14ac:dyDescent="0.25">
      <c r="A6" s="88"/>
      <c r="B6" s="33" t="s">
        <v>83</v>
      </c>
      <c r="C6" s="34" t="s">
        <v>129</v>
      </c>
      <c r="D6" s="10" t="s">
        <v>107</v>
      </c>
      <c r="E6" s="10" t="s">
        <v>105</v>
      </c>
      <c r="F6" s="10" t="s">
        <v>95</v>
      </c>
      <c r="G6" s="10" t="s">
        <v>100</v>
      </c>
      <c r="H6" s="10" t="s">
        <v>144</v>
      </c>
      <c r="I6" s="10" t="s">
        <v>145</v>
      </c>
      <c r="J6" s="10" t="s">
        <v>146</v>
      </c>
      <c r="K6" s="10" t="s">
        <v>147</v>
      </c>
      <c r="L6" s="10" t="s">
        <v>156</v>
      </c>
      <c r="M6" s="10" t="s">
        <v>101</v>
      </c>
    </row>
    <row r="7" spans="1:13" ht="97.5" customHeight="1" x14ac:dyDescent="0.25">
      <c r="A7" s="88"/>
      <c r="B7" s="33"/>
      <c r="C7" s="33"/>
      <c r="D7" s="10" t="s">
        <v>131</v>
      </c>
      <c r="E7" s="10" t="s">
        <v>132</v>
      </c>
      <c r="F7" s="10" t="s">
        <v>95</v>
      </c>
      <c r="G7" s="10" t="s">
        <v>133</v>
      </c>
      <c r="H7" s="10" t="s">
        <v>148</v>
      </c>
      <c r="I7" s="10" t="s">
        <v>149</v>
      </c>
      <c r="J7" s="10" t="s">
        <v>150</v>
      </c>
      <c r="K7" s="10" t="s">
        <v>151</v>
      </c>
      <c r="L7" s="10" t="s">
        <v>152</v>
      </c>
      <c r="M7" s="10" t="s">
        <v>213</v>
      </c>
    </row>
    <row r="8" spans="1:13" ht="240" x14ac:dyDescent="0.25">
      <c r="A8" s="88"/>
      <c r="B8" s="33"/>
      <c r="C8" s="33"/>
      <c r="D8" s="10" t="s">
        <v>134</v>
      </c>
      <c r="E8" s="10" t="s">
        <v>135</v>
      </c>
      <c r="F8" s="10" t="s">
        <v>95</v>
      </c>
      <c r="G8" s="10" t="s">
        <v>136</v>
      </c>
      <c r="H8" s="10" t="s">
        <v>153</v>
      </c>
      <c r="I8" s="39"/>
      <c r="J8" s="39"/>
      <c r="K8" s="39"/>
      <c r="L8" s="39"/>
      <c r="M8" s="10" t="s">
        <v>137</v>
      </c>
    </row>
    <row r="9" spans="1:13" ht="75" x14ac:dyDescent="0.25">
      <c r="A9" s="88"/>
      <c r="B9" s="33"/>
      <c r="C9" s="33"/>
      <c r="D9" s="10" t="s">
        <v>141</v>
      </c>
      <c r="E9" s="10" t="s">
        <v>138</v>
      </c>
      <c r="F9" s="10" t="s">
        <v>92</v>
      </c>
      <c r="G9" s="10" t="s">
        <v>139</v>
      </c>
      <c r="H9" s="10" t="s">
        <v>153</v>
      </c>
      <c r="I9" s="39"/>
      <c r="J9" s="39"/>
      <c r="K9" s="39"/>
      <c r="L9" s="39"/>
      <c r="M9" s="10" t="s">
        <v>140</v>
      </c>
    </row>
    <row r="10" spans="1:13" ht="120" x14ac:dyDescent="0.25">
      <c r="A10" s="88"/>
      <c r="B10" s="33" t="s">
        <v>83</v>
      </c>
      <c r="C10" s="34" t="s">
        <v>130</v>
      </c>
      <c r="D10" s="10" t="s">
        <v>142</v>
      </c>
      <c r="E10" s="10" t="s">
        <v>108</v>
      </c>
      <c r="F10" s="10" t="s">
        <v>92</v>
      </c>
      <c r="G10" s="10" t="s">
        <v>109</v>
      </c>
      <c r="H10" s="10" t="s">
        <v>148</v>
      </c>
      <c r="I10" s="10" t="s">
        <v>149</v>
      </c>
      <c r="J10" s="10" t="s">
        <v>150</v>
      </c>
      <c r="K10" s="10" t="s">
        <v>154</v>
      </c>
      <c r="L10" s="10" t="s">
        <v>155</v>
      </c>
      <c r="M10" s="10" t="s">
        <v>110</v>
      </c>
    </row>
    <row r="11" spans="1:13" ht="105" x14ac:dyDescent="0.25">
      <c r="A11" s="88"/>
      <c r="B11" s="33"/>
      <c r="C11" s="34"/>
      <c r="D11" s="10" t="s">
        <v>143</v>
      </c>
      <c r="E11" s="10" t="s">
        <v>111</v>
      </c>
      <c r="F11" s="10" t="s">
        <v>85</v>
      </c>
      <c r="G11" s="10" t="s">
        <v>112</v>
      </c>
      <c r="H11" s="10" t="s">
        <v>148</v>
      </c>
      <c r="I11" s="10" t="s">
        <v>149</v>
      </c>
      <c r="J11" s="10" t="s">
        <v>150</v>
      </c>
      <c r="K11" s="10" t="s">
        <v>157</v>
      </c>
      <c r="L11" s="10" t="s">
        <v>158</v>
      </c>
      <c r="M11" s="10" t="s">
        <v>113</v>
      </c>
    </row>
    <row r="12" spans="1:13" ht="270" x14ac:dyDescent="0.25">
      <c r="A12" s="88"/>
      <c r="B12" s="35" t="s">
        <v>16</v>
      </c>
      <c r="C12" s="35" t="s">
        <v>121</v>
      </c>
      <c r="D12" s="10" t="s">
        <v>170</v>
      </c>
      <c r="E12" s="10" t="s">
        <v>163</v>
      </c>
      <c r="F12" s="10" t="s">
        <v>92</v>
      </c>
      <c r="G12" s="10" t="s">
        <v>164</v>
      </c>
      <c r="H12" s="10" t="s">
        <v>165</v>
      </c>
      <c r="I12" s="10" t="s">
        <v>149</v>
      </c>
      <c r="J12" s="10" t="s">
        <v>150</v>
      </c>
      <c r="K12" s="10" t="s">
        <v>166</v>
      </c>
      <c r="L12" s="10" t="s">
        <v>168</v>
      </c>
      <c r="M12" s="10" t="s">
        <v>179</v>
      </c>
    </row>
    <row r="13" spans="1:13" ht="195" x14ac:dyDescent="0.25">
      <c r="A13" s="88"/>
      <c r="B13" s="35" t="s">
        <v>16</v>
      </c>
      <c r="C13" s="35" t="s">
        <v>102</v>
      </c>
      <c r="D13" s="10" t="s">
        <v>171</v>
      </c>
      <c r="E13" s="10" t="s">
        <v>104</v>
      </c>
      <c r="F13" s="10" t="s">
        <v>95</v>
      </c>
      <c r="G13" s="10" t="s">
        <v>169</v>
      </c>
      <c r="H13" s="10" t="s">
        <v>148</v>
      </c>
      <c r="I13" s="10" t="s">
        <v>149</v>
      </c>
      <c r="J13" s="10" t="s">
        <v>150</v>
      </c>
      <c r="K13" s="10" t="s">
        <v>166</v>
      </c>
      <c r="L13" s="10" t="s">
        <v>168</v>
      </c>
      <c r="M13" s="10" t="s">
        <v>167</v>
      </c>
    </row>
    <row r="14" spans="1:13" ht="165" x14ac:dyDescent="0.25">
      <c r="A14" s="88"/>
      <c r="B14" s="35" t="s">
        <v>16</v>
      </c>
      <c r="C14" s="35" t="s">
        <v>120</v>
      </c>
      <c r="D14" s="10" t="s">
        <v>172</v>
      </c>
      <c r="E14" s="38" t="s">
        <v>175</v>
      </c>
      <c r="F14" s="10" t="s">
        <v>92</v>
      </c>
      <c r="G14" s="63" t="s">
        <v>176</v>
      </c>
      <c r="H14" s="10" t="s">
        <v>148</v>
      </c>
      <c r="I14" s="10" t="s">
        <v>149</v>
      </c>
      <c r="J14" s="10" t="s">
        <v>150</v>
      </c>
      <c r="K14" s="10" t="s">
        <v>166</v>
      </c>
      <c r="L14" s="10" t="s">
        <v>168</v>
      </c>
      <c r="M14" s="10" t="s">
        <v>180</v>
      </c>
    </row>
    <row r="15" spans="1:13" ht="195" x14ac:dyDescent="0.25">
      <c r="A15" s="88"/>
      <c r="B15" s="35" t="s">
        <v>16</v>
      </c>
      <c r="C15" s="35"/>
      <c r="D15" s="10" t="s">
        <v>173</v>
      </c>
      <c r="E15" s="10" t="s">
        <v>177</v>
      </c>
      <c r="F15" s="10" t="s">
        <v>174</v>
      </c>
      <c r="G15" s="63" t="s">
        <v>178</v>
      </c>
      <c r="H15" s="10" t="s">
        <v>148</v>
      </c>
      <c r="I15" s="10" t="s">
        <v>149</v>
      </c>
      <c r="J15" s="10" t="s">
        <v>150</v>
      </c>
      <c r="K15" s="10" t="s">
        <v>166</v>
      </c>
      <c r="L15" s="10" t="s">
        <v>168</v>
      </c>
      <c r="M15" s="10" t="s">
        <v>181</v>
      </c>
    </row>
    <row r="16" spans="1:13" ht="255" x14ac:dyDescent="0.25">
      <c r="A16" s="88"/>
      <c r="B16" s="35" t="s">
        <v>16</v>
      </c>
      <c r="C16" s="35" t="s">
        <v>119</v>
      </c>
      <c r="D16" s="10" t="s">
        <v>184</v>
      </c>
      <c r="E16" s="38" t="s">
        <v>127</v>
      </c>
      <c r="F16" s="10" t="s">
        <v>85</v>
      </c>
      <c r="G16" s="38" t="s">
        <v>182</v>
      </c>
      <c r="H16" s="10" t="s">
        <v>148</v>
      </c>
      <c r="I16" s="10" t="s">
        <v>149</v>
      </c>
      <c r="J16" s="10" t="s">
        <v>150</v>
      </c>
      <c r="K16" s="32" t="s">
        <v>160</v>
      </c>
      <c r="L16" s="32" t="s">
        <v>161</v>
      </c>
      <c r="M16" s="10" t="s">
        <v>183</v>
      </c>
    </row>
    <row r="17" spans="1:13" ht="45" x14ac:dyDescent="0.25">
      <c r="A17" s="88"/>
      <c r="B17" s="35" t="s">
        <v>16</v>
      </c>
      <c r="C17" s="35" t="s">
        <v>99</v>
      </c>
      <c r="D17" s="16" t="s">
        <v>185</v>
      </c>
      <c r="E17" s="10" t="s">
        <v>103</v>
      </c>
      <c r="F17" s="10" t="s">
        <v>85</v>
      </c>
      <c r="G17" s="10" t="s">
        <v>100</v>
      </c>
      <c r="H17" s="10" t="s">
        <v>148</v>
      </c>
      <c r="I17" s="10" t="s">
        <v>149</v>
      </c>
      <c r="J17" s="10" t="s">
        <v>150</v>
      </c>
      <c r="K17" s="10" t="s">
        <v>159</v>
      </c>
      <c r="L17" s="10" t="s">
        <v>155</v>
      </c>
      <c r="M17" s="10" t="s">
        <v>101</v>
      </c>
    </row>
    <row r="18" spans="1:13" ht="255" x14ac:dyDescent="0.25">
      <c r="A18" s="88"/>
      <c r="B18" s="35" t="s">
        <v>16</v>
      </c>
      <c r="C18" s="35" t="s">
        <v>122</v>
      </c>
      <c r="D18" s="23" t="s">
        <v>186</v>
      </c>
      <c r="E18" s="61" t="s">
        <v>162</v>
      </c>
      <c r="F18" s="10" t="s">
        <v>95</v>
      </c>
      <c r="G18" s="38" t="s">
        <v>195</v>
      </c>
      <c r="H18" s="10" t="s">
        <v>148</v>
      </c>
      <c r="I18" s="10" t="s">
        <v>149</v>
      </c>
      <c r="J18" s="10" t="s">
        <v>150</v>
      </c>
      <c r="K18" s="10" t="s">
        <v>166</v>
      </c>
      <c r="L18" s="10" t="s">
        <v>155</v>
      </c>
      <c r="M18" s="10" t="s">
        <v>194</v>
      </c>
    </row>
    <row r="19" spans="1:13" ht="120" x14ac:dyDescent="0.25">
      <c r="A19" s="88"/>
      <c r="B19" s="35" t="s">
        <v>16</v>
      </c>
      <c r="C19" s="35" t="s">
        <v>123</v>
      </c>
      <c r="D19" s="10" t="s">
        <v>187</v>
      </c>
      <c r="E19" s="10" t="s">
        <v>88</v>
      </c>
      <c r="F19" s="10" t="s">
        <v>95</v>
      </c>
      <c r="G19" s="10" t="s">
        <v>89</v>
      </c>
      <c r="H19" s="10" t="s">
        <v>148</v>
      </c>
      <c r="I19" s="10" t="s">
        <v>149</v>
      </c>
      <c r="J19" s="10" t="s">
        <v>150</v>
      </c>
      <c r="K19" s="32" t="s">
        <v>160</v>
      </c>
      <c r="L19" s="32" t="s">
        <v>161</v>
      </c>
      <c r="M19" s="10" t="s">
        <v>98</v>
      </c>
    </row>
    <row r="20" spans="1:13" ht="195" x14ac:dyDescent="0.25">
      <c r="A20" s="88"/>
      <c r="B20" s="36" t="s">
        <v>17</v>
      </c>
      <c r="C20" s="37" t="s">
        <v>124</v>
      </c>
      <c r="D20" s="10" t="s">
        <v>188</v>
      </c>
      <c r="E20" s="10" t="s">
        <v>115</v>
      </c>
      <c r="F20" s="10" t="s">
        <v>95</v>
      </c>
      <c r="G20" s="10" t="s">
        <v>116</v>
      </c>
      <c r="H20" s="10" t="s">
        <v>148</v>
      </c>
      <c r="I20" s="10" t="s">
        <v>149</v>
      </c>
      <c r="J20" s="10" t="s">
        <v>150</v>
      </c>
      <c r="K20" s="10" t="s">
        <v>196</v>
      </c>
      <c r="L20" s="10" t="s">
        <v>197</v>
      </c>
      <c r="M20" s="10" t="s">
        <v>198</v>
      </c>
    </row>
    <row r="21" spans="1:13" ht="120" x14ac:dyDescent="0.25">
      <c r="A21" s="88"/>
      <c r="B21" s="36"/>
      <c r="C21" s="37"/>
      <c r="D21" s="10" t="s">
        <v>189</v>
      </c>
      <c r="E21" s="10" t="s">
        <v>117</v>
      </c>
      <c r="F21" s="10" t="s">
        <v>95</v>
      </c>
      <c r="G21" s="10" t="s">
        <v>118</v>
      </c>
      <c r="H21" s="10" t="s">
        <v>148</v>
      </c>
      <c r="I21" s="10" t="s">
        <v>149</v>
      </c>
      <c r="J21" s="10" t="s">
        <v>150</v>
      </c>
      <c r="K21" s="10" t="s">
        <v>159</v>
      </c>
      <c r="L21" s="10" t="s">
        <v>155</v>
      </c>
      <c r="M21" s="10" t="s">
        <v>101</v>
      </c>
    </row>
    <row r="22" spans="1:13" ht="120" x14ac:dyDescent="0.25">
      <c r="A22" s="88"/>
      <c r="B22" s="36" t="s">
        <v>17</v>
      </c>
      <c r="C22" s="37" t="s">
        <v>125</v>
      </c>
      <c r="D22" s="63" t="s">
        <v>190</v>
      </c>
      <c r="E22" s="10" t="s">
        <v>96</v>
      </c>
      <c r="F22" s="10" t="s">
        <v>92</v>
      </c>
      <c r="G22" s="10" t="s">
        <v>97</v>
      </c>
      <c r="H22" s="10" t="s">
        <v>153</v>
      </c>
      <c r="I22" s="39"/>
      <c r="J22" s="39"/>
      <c r="K22" s="39"/>
      <c r="L22" s="39"/>
      <c r="M22" s="10" t="s">
        <v>128</v>
      </c>
    </row>
    <row r="23" spans="1:13" ht="150" x14ac:dyDescent="0.25">
      <c r="A23" s="88"/>
      <c r="B23" s="36"/>
      <c r="C23" s="37"/>
      <c r="D23" s="63" t="s">
        <v>191</v>
      </c>
      <c r="E23" s="10" t="s">
        <v>93</v>
      </c>
      <c r="F23" s="10" t="s">
        <v>92</v>
      </c>
      <c r="G23" s="10" t="s">
        <v>97</v>
      </c>
      <c r="H23" s="10" t="s">
        <v>153</v>
      </c>
      <c r="I23" s="39"/>
      <c r="J23" s="39"/>
      <c r="K23" s="39"/>
      <c r="L23" s="39"/>
      <c r="M23" s="10" t="s">
        <v>128</v>
      </c>
    </row>
    <row r="24" spans="1:13" ht="135" x14ac:dyDescent="0.25">
      <c r="A24" s="88"/>
      <c r="B24" s="36"/>
      <c r="C24" s="37"/>
      <c r="D24" s="10" t="s">
        <v>192</v>
      </c>
      <c r="E24" s="10" t="s">
        <v>114</v>
      </c>
      <c r="F24" s="10" t="s">
        <v>85</v>
      </c>
      <c r="G24" s="10" t="s">
        <v>100</v>
      </c>
      <c r="H24" s="10" t="s">
        <v>148</v>
      </c>
      <c r="I24" s="10" t="s">
        <v>149</v>
      </c>
      <c r="J24" s="10" t="s">
        <v>150</v>
      </c>
      <c r="K24" s="10" t="s">
        <v>159</v>
      </c>
      <c r="L24" s="10" t="s">
        <v>155</v>
      </c>
      <c r="M24" s="10" t="s">
        <v>101</v>
      </c>
    </row>
    <row r="25" spans="1:13" ht="105" x14ac:dyDescent="0.25">
      <c r="A25" s="88"/>
      <c r="B25" s="36" t="s">
        <v>17</v>
      </c>
      <c r="C25" s="37" t="s">
        <v>126</v>
      </c>
      <c r="D25" s="10" t="s">
        <v>193</v>
      </c>
      <c r="E25" s="10" t="s">
        <v>84</v>
      </c>
      <c r="F25" s="10" t="s">
        <v>85</v>
      </c>
      <c r="G25" s="10" t="s">
        <v>90</v>
      </c>
      <c r="H25" s="10" t="s">
        <v>148</v>
      </c>
      <c r="I25" s="10" t="s">
        <v>149</v>
      </c>
      <c r="J25" s="10" t="s">
        <v>150</v>
      </c>
      <c r="K25" s="10" t="s">
        <v>159</v>
      </c>
      <c r="L25" s="10" t="s">
        <v>155</v>
      </c>
      <c r="M25" s="10" t="s">
        <v>94</v>
      </c>
    </row>
    <row r="26" spans="1:13" x14ac:dyDescent="0.25">
      <c r="A26" s="88"/>
      <c r="B26" s="9"/>
      <c r="C26" s="10"/>
      <c r="D26" s="10"/>
      <c r="E26" s="10"/>
      <c r="F26" s="10"/>
      <c r="G26" s="10"/>
      <c r="H26" s="10"/>
      <c r="I26" s="10"/>
      <c r="J26" s="10"/>
      <c r="K26" s="10"/>
      <c r="L26" s="10"/>
      <c r="M26" s="10"/>
    </row>
    <row r="27" spans="1:13" x14ac:dyDescent="0.25">
      <c r="A27" s="88"/>
      <c r="B27" s="9"/>
      <c r="C27" s="10"/>
      <c r="D27" s="10"/>
      <c r="E27" s="10"/>
      <c r="F27" s="10"/>
      <c r="G27" s="10"/>
      <c r="H27" s="10"/>
      <c r="I27" s="10"/>
      <c r="J27" s="10"/>
      <c r="K27" s="10"/>
      <c r="L27" s="10"/>
      <c r="M27" s="10"/>
    </row>
    <row r="28" spans="1:13" x14ac:dyDescent="0.25">
      <c r="A28" s="88"/>
      <c r="B28" s="9"/>
      <c r="C28" s="10"/>
      <c r="D28" s="10"/>
      <c r="E28" s="10"/>
      <c r="F28" s="10"/>
      <c r="G28" s="10"/>
      <c r="H28" s="10"/>
      <c r="I28" s="10"/>
      <c r="J28" s="10"/>
      <c r="K28" s="10"/>
      <c r="L28" s="10"/>
      <c r="M28" s="10"/>
    </row>
    <row r="29" spans="1:13" x14ac:dyDescent="0.25">
      <c r="A29" s="88"/>
      <c r="B29" s="9"/>
      <c r="C29" s="10"/>
      <c r="D29" s="10"/>
      <c r="E29" s="10"/>
      <c r="F29" s="10"/>
      <c r="G29" s="10"/>
      <c r="H29" s="10"/>
      <c r="I29" s="10"/>
      <c r="J29" s="10"/>
      <c r="K29" s="10"/>
      <c r="L29" s="10"/>
      <c r="M29" s="10"/>
    </row>
    <row r="30" spans="1:13" x14ac:dyDescent="0.25">
      <c r="A30" s="88"/>
      <c r="B30" s="9"/>
      <c r="C30" s="10"/>
      <c r="D30" s="10"/>
      <c r="E30" s="10"/>
      <c r="F30" s="10"/>
      <c r="G30" s="10"/>
      <c r="H30" s="10"/>
      <c r="I30" s="10"/>
      <c r="J30" s="10"/>
      <c r="K30" s="10"/>
      <c r="L30" s="10"/>
      <c r="M30" s="10"/>
    </row>
    <row r="31" spans="1:13" x14ac:dyDescent="0.25">
      <c r="A31" s="88"/>
      <c r="B31" s="9"/>
      <c r="C31" s="10"/>
      <c r="D31" s="10"/>
      <c r="E31" s="10"/>
      <c r="F31" s="10"/>
      <c r="G31" s="10"/>
      <c r="H31" s="10"/>
      <c r="I31" s="10"/>
      <c r="J31" s="10"/>
      <c r="K31" s="10"/>
      <c r="L31" s="10"/>
      <c r="M31" s="10"/>
    </row>
    <row r="32" spans="1:13" x14ac:dyDescent="0.25">
      <c r="A32" s="88"/>
      <c r="B32" s="9"/>
      <c r="C32" s="10"/>
      <c r="D32" s="10"/>
      <c r="E32" s="10"/>
      <c r="F32" s="10"/>
      <c r="G32" s="10"/>
      <c r="H32" s="10"/>
      <c r="I32" s="10"/>
      <c r="J32" s="10"/>
      <c r="K32" s="10"/>
      <c r="L32" s="10"/>
      <c r="M32" s="10"/>
    </row>
    <row r="33" spans="1:13" x14ac:dyDescent="0.25">
      <c r="A33" s="88"/>
      <c r="B33" s="9"/>
      <c r="C33" s="10"/>
      <c r="D33" s="10"/>
      <c r="E33" s="10"/>
      <c r="F33" s="10"/>
      <c r="G33" s="10"/>
      <c r="H33" s="10"/>
      <c r="I33" s="10"/>
      <c r="J33" s="10"/>
      <c r="K33" s="10"/>
      <c r="L33" s="10"/>
      <c r="M33" s="10"/>
    </row>
    <row r="34" spans="1:13" x14ac:dyDescent="0.25">
      <c r="A34" s="88"/>
      <c r="B34" s="9"/>
      <c r="C34" s="10"/>
      <c r="D34" s="10"/>
      <c r="E34" s="10"/>
      <c r="F34" s="10"/>
      <c r="G34" s="10"/>
      <c r="H34" s="10"/>
      <c r="I34" s="10"/>
      <c r="J34" s="10"/>
      <c r="K34" s="10"/>
      <c r="L34" s="10"/>
      <c r="M34" s="10"/>
    </row>
    <row r="35" spans="1:13" x14ac:dyDescent="0.25">
      <c r="A35" s="88"/>
      <c r="B35" s="9"/>
      <c r="C35" s="10"/>
      <c r="D35" s="10"/>
      <c r="E35" s="10"/>
      <c r="F35" s="10"/>
      <c r="G35" s="10"/>
      <c r="H35" s="10"/>
      <c r="I35" s="10"/>
      <c r="J35" s="10"/>
      <c r="K35" s="10"/>
      <c r="L35" s="10"/>
      <c r="M35" s="10"/>
    </row>
    <row r="36" spans="1:13" x14ac:dyDescent="0.25">
      <c r="A36" s="88"/>
      <c r="B36" s="9"/>
      <c r="C36" s="10"/>
      <c r="D36" s="10"/>
      <c r="E36" s="10"/>
      <c r="F36" s="10"/>
      <c r="G36" s="10"/>
      <c r="H36" s="10"/>
      <c r="I36" s="10"/>
      <c r="J36" s="10"/>
      <c r="K36" s="10"/>
      <c r="L36" s="10"/>
      <c r="M36" s="10"/>
    </row>
    <row r="37" spans="1:13" ht="15.75" thickBot="1" x14ac:dyDescent="0.3">
      <c r="A37" s="89"/>
      <c r="B37" s="9"/>
      <c r="C37" s="10"/>
      <c r="D37" s="10"/>
      <c r="E37" s="10"/>
      <c r="F37" s="10"/>
      <c r="G37" s="10"/>
      <c r="H37" s="10"/>
      <c r="I37" s="10"/>
      <c r="J37" s="10"/>
      <c r="K37" s="10"/>
      <c r="L37" s="10"/>
      <c r="M37" s="10"/>
    </row>
    <row r="38" spans="1:13" x14ac:dyDescent="0.25">
      <c r="A38" s="88" t="s">
        <v>8</v>
      </c>
      <c r="B38" s="9"/>
      <c r="C38" s="10"/>
      <c r="D38" s="10"/>
      <c r="E38" s="10"/>
      <c r="F38" s="10"/>
      <c r="G38" s="10"/>
      <c r="H38" s="10"/>
      <c r="I38" s="10"/>
      <c r="J38" s="10"/>
      <c r="K38" s="10"/>
      <c r="L38" s="10"/>
      <c r="M38" s="10"/>
    </row>
    <row r="39" spans="1:13" x14ac:dyDescent="0.25">
      <c r="A39" s="88"/>
      <c r="B39" s="9"/>
      <c r="C39" s="10"/>
      <c r="D39" s="10"/>
      <c r="E39" s="10"/>
      <c r="F39" s="10"/>
      <c r="G39" s="10"/>
      <c r="H39" s="10"/>
      <c r="I39" s="10"/>
      <c r="J39" s="10"/>
      <c r="K39" s="10"/>
      <c r="L39" s="10"/>
      <c r="M39" s="10"/>
    </row>
    <row r="40" spans="1:13" x14ac:dyDescent="0.25">
      <c r="A40" s="88"/>
      <c r="B40" s="9"/>
      <c r="C40" s="10"/>
      <c r="D40" s="10"/>
      <c r="E40" s="10"/>
      <c r="F40" s="10"/>
      <c r="G40" s="10"/>
      <c r="H40" s="10"/>
      <c r="I40" s="10"/>
      <c r="J40" s="10"/>
      <c r="K40" s="10"/>
      <c r="L40" s="10"/>
      <c r="M40" s="10"/>
    </row>
    <row r="41" spans="1:13" x14ac:dyDescent="0.25">
      <c r="A41" s="88"/>
      <c r="B41" s="9"/>
      <c r="C41" s="10"/>
      <c r="D41" s="10"/>
      <c r="E41" s="10"/>
      <c r="F41" s="10"/>
      <c r="G41" s="10"/>
      <c r="H41" s="10"/>
      <c r="I41" s="10"/>
      <c r="J41" s="10"/>
      <c r="K41" s="10"/>
      <c r="L41" s="10"/>
      <c r="M41" s="10"/>
    </row>
    <row r="42" spans="1:13" x14ac:dyDescent="0.25">
      <c r="A42" s="88"/>
      <c r="B42" s="9"/>
      <c r="C42" s="10"/>
      <c r="D42" s="10"/>
      <c r="E42" s="10"/>
      <c r="F42" s="10"/>
      <c r="G42" s="10"/>
      <c r="H42" s="10"/>
      <c r="I42" s="10"/>
      <c r="J42" s="10"/>
      <c r="K42" s="10"/>
      <c r="L42" s="10"/>
      <c r="M42" s="10"/>
    </row>
    <row r="43" spans="1:13" x14ac:dyDescent="0.25">
      <c r="A43" s="88"/>
      <c r="B43" s="9"/>
      <c r="C43" s="10"/>
      <c r="D43" s="10"/>
      <c r="E43" s="10"/>
      <c r="F43" s="10"/>
      <c r="G43" s="10"/>
      <c r="H43" s="10"/>
      <c r="I43" s="10"/>
      <c r="J43" s="10"/>
      <c r="K43" s="10"/>
      <c r="L43" s="10"/>
      <c r="M43" s="10"/>
    </row>
    <row r="44" spans="1:13" x14ac:dyDescent="0.25">
      <c r="A44" s="88"/>
      <c r="B44" s="9"/>
      <c r="C44" s="10"/>
      <c r="D44" s="10"/>
      <c r="E44" s="10"/>
      <c r="F44" s="10"/>
      <c r="G44" s="10"/>
      <c r="H44" s="10"/>
      <c r="I44" s="10"/>
      <c r="J44" s="10"/>
      <c r="K44" s="10"/>
      <c r="L44" s="10"/>
      <c r="M44" s="10"/>
    </row>
    <row r="45" spans="1:13" x14ac:dyDescent="0.25">
      <c r="A45" s="88"/>
      <c r="B45" s="9"/>
      <c r="C45" s="10"/>
      <c r="D45" s="10"/>
      <c r="E45" s="10"/>
      <c r="F45" s="10"/>
      <c r="G45" s="10"/>
      <c r="H45" s="10"/>
      <c r="I45" s="10"/>
      <c r="J45" s="10"/>
      <c r="K45" s="10"/>
      <c r="L45" s="10"/>
      <c r="M45" s="10"/>
    </row>
    <row r="46" spans="1:13" x14ac:dyDescent="0.25">
      <c r="A46" s="88"/>
      <c r="B46" s="9"/>
      <c r="C46" s="10"/>
      <c r="D46" s="10"/>
      <c r="E46" s="10"/>
      <c r="F46" s="10"/>
      <c r="G46" s="10"/>
      <c r="H46" s="31"/>
      <c r="I46" s="31"/>
      <c r="J46" s="31"/>
      <c r="K46" s="31"/>
      <c r="L46" s="31"/>
      <c r="M46" s="31"/>
    </row>
    <row r="47" spans="1:13" x14ac:dyDescent="0.25">
      <c r="A47" s="88"/>
      <c r="B47" s="9"/>
      <c r="C47" s="10"/>
      <c r="D47" s="10"/>
      <c r="E47" s="10"/>
      <c r="F47" s="10"/>
      <c r="G47" s="10"/>
      <c r="H47" s="31"/>
      <c r="I47" s="31"/>
      <c r="J47" s="31"/>
      <c r="K47" s="31"/>
      <c r="L47" s="31"/>
      <c r="M47" s="31"/>
    </row>
    <row r="48" spans="1:13" x14ac:dyDescent="0.25">
      <c r="A48" s="88"/>
      <c r="B48" s="9"/>
      <c r="C48" s="10"/>
      <c r="D48" s="10"/>
      <c r="E48" s="10"/>
      <c r="F48" s="10"/>
      <c r="G48" s="10"/>
      <c r="H48" s="31"/>
      <c r="I48" s="31"/>
      <c r="J48" s="31"/>
      <c r="K48" s="31"/>
      <c r="L48" s="31"/>
      <c r="M48" s="31"/>
    </row>
    <row r="49" spans="1:13" x14ac:dyDescent="0.25">
      <c r="A49" s="88"/>
      <c r="B49" s="9"/>
      <c r="C49" s="10"/>
      <c r="D49" s="10"/>
      <c r="E49" s="10"/>
      <c r="F49" s="10"/>
      <c r="G49" s="10"/>
      <c r="H49" s="10"/>
      <c r="I49" s="10"/>
      <c r="J49" s="10"/>
      <c r="K49" s="10"/>
      <c r="L49" s="10"/>
      <c r="M49" s="10"/>
    </row>
    <row r="50" spans="1:13" x14ac:dyDescent="0.25">
      <c r="A50" s="88"/>
      <c r="B50" s="9"/>
      <c r="C50" s="10"/>
      <c r="D50" s="10"/>
      <c r="E50" s="10"/>
      <c r="F50" s="10"/>
      <c r="G50" s="10"/>
      <c r="H50" s="10"/>
      <c r="I50" s="10"/>
      <c r="J50" s="10"/>
      <c r="K50" s="10"/>
      <c r="L50" s="10"/>
      <c r="M50" s="10"/>
    </row>
    <row r="51" spans="1:13" x14ac:dyDescent="0.25">
      <c r="A51" s="88"/>
      <c r="B51" s="9"/>
      <c r="C51" s="10"/>
      <c r="D51" s="10"/>
      <c r="E51" s="10"/>
      <c r="F51" s="10"/>
      <c r="G51" s="10"/>
      <c r="H51" s="10"/>
      <c r="I51" s="10"/>
      <c r="J51" s="10"/>
      <c r="K51" s="10"/>
      <c r="L51" s="10"/>
      <c r="M51" s="10"/>
    </row>
    <row r="52" spans="1:13" x14ac:dyDescent="0.25">
      <c r="A52" s="88"/>
      <c r="B52" s="9"/>
      <c r="C52" s="10"/>
      <c r="D52" s="10"/>
      <c r="E52" s="10"/>
      <c r="F52" s="10"/>
      <c r="G52" s="10"/>
      <c r="H52" s="10"/>
      <c r="I52" s="10"/>
      <c r="J52" s="10"/>
      <c r="K52" s="10"/>
      <c r="L52" s="10"/>
      <c r="M52" s="10"/>
    </row>
    <row r="53" spans="1:13" x14ac:dyDescent="0.25">
      <c r="A53" s="88"/>
      <c r="B53" s="9"/>
      <c r="C53" s="10"/>
      <c r="D53" s="10"/>
      <c r="E53" s="10"/>
      <c r="F53" s="10"/>
      <c r="G53" s="10"/>
      <c r="H53" s="31"/>
      <c r="I53" s="31"/>
      <c r="J53" s="31"/>
      <c r="K53" s="31"/>
      <c r="L53" s="31"/>
      <c r="M53" s="31"/>
    </row>
    <row r="54" spans="1:13" x14ac:dyDescent="0.25">
      <c r="A54" s="88"/>
      <c r="B54" s="9"/>
      <c r="C54" s="10"/>
      <c r="D54" s="10"/>
      <c r="E54" s="10"/>
      <c r="F54" s="10"/>
      <c r="G54" s="10"/>
      <c r="H54" s="31"/>
      <c r="I54" s="31"/>
      <c r="J54" s="31"/>
      <c r="K54" s="31"/>
      <c r="L54" s="31"/>
      <c r="M54" s="31"/>
    </row>
    <row r="55" spans="1:13" x14ac:dyDescent="0.25">
      <c r="A55" s="88"/>
      <c r="B55" s="9"/>
      <c r="C55" s="10"/>
      <c r="D55" s="10"/>
      <c r="E55" s="10"/>
      <c r="F55" s="10"/>
      <c r="G55" s="10"/>
      <c r="H55" s="31"/>
      <c r="I55" s="31"/>
      <c r="J55" s="31"/>
      <c r="K55" s="31"/>
      <c r="L55" s="31"/>
      <c r="M55" s="31"/>
    </row>
    <row r="56" spans="1:13" x14ac:dyDescent="0.25">
      <c r="A56" s="88"/>
      <c r="B56" s="9"/>
      <c r="C56" s="10"/>
      <c r="D56" s="10"/>
      <c r="E56" s="10"/>
      <c r="F56" s="10"/>
      <c r="G56" s="10"/>
      <c r="H56" s="31"/>
      <c r="I56" s="31"/>
      <c r="J56" s="31"/>
      <c r="K56" s="31"/>
      <c r="L56" s="31"/>
      <c r="M56" s="31"/>
    </row>
    <row r="57" spans="1:13" x14ac:dyDescent="0.25">
      <c r="A57" s="88"/>
      <c r="B57" s="9"/>
      <c r="C57" s="10"/>
      <c r="D57" s="10"/>
      <c r="E57" s="10"/>
      <c r="F57" s="10"/>
      <c r="G57" s="10"/>
      <c r="H57" s="31"/>
      <c r="I57" s="31"/>
      <c r="J57" s="31"/>
      <c r="K57" s="31"/>
      <c r="L57" s="31"/>
      <c r="M57" s="31"/>
    </row>
    <row r="58" spans="1:13" x14ac:dyDescent="0.25">
      <c r="A58" s="88"/>
      <c r="B58" s="9"/>
      <c r="C58" s="10"/>
      <c r="D58" s="10"/>
      <c r="E58" s="10"/>
      <c r="F58" s="10"/>
      <c r="G58" s="10"/>
      <c r="H58" s="31"/>
      <c r="I58" s="31"/>
      <c r="J58" s="31"/>
      <c r="K58" s="31"/>
      <c r="L58" s="31"/>
      <c r="M58" s="31"/>
    </row>
    <row r="59" spans="1:13" x14ac:dyDescent="0.25">
      <c r="A59" s="88"/>
      <c r="B59" s="9"/>
      <c r="C59" s="10"/>
      <c r="D59" s="10"/>
      <c r="E59" s="10"/>
      <c r="F59" s="10"/>
      <c r="G59" s="10"/>
      <c r="H59" s="31"/>
      <c r="I59" s="31"/>
      <c r="J59" s="31"/>
      <c r="K59" s="31"/>
      <c r="L59" s="31"/>
      <c r="M59" s="31"/>
    </row>
    <row r="60" spans="1:13" x14ac:dyDescent="0.25">
      <c r="A60" s="88"/>
      <c r="B60" s="9"/>
      <c r="C60" s="10"/>
      <c r="D60" s="10"/>
      <c r="E60" s="10"/>
      <c r="F60" s="10"/>
      <c r="G60" s="10"/>
      <c r="H60" s="31"/>
      <c r="I60" s="31"/>
      <c r="J60" s="31"/>
      <c r="K60" s="31"/>
      <c r="L60" s="31"/>
      <c r="M60" s="31"/>
    </row>
    <row r="61" spans="1:13" x14ac:dyDescent="0.25">
      <c r="A61" s="88"/>
      <c r="B61" s="9"/>
      <c r="C61" s="10"/>
      <c r="D61" s="10"/>
      <c r="E61" s="10"/>
      <c r="F61" s="10"/>
      <c r="G61" s="10"/>
      <c r="H61" s="31"/>
      <c r="I61" s="31"/>
      <c r="J61" s="31"/>
      <c r="K61" s="31"/>
      <c r="L61" s="31"/>
      <c r="M61" s="31"/>
    </row>
    <row r="62" spans="1:13" x14ac:dyDescent="0.25">
      <c r="A62" s="88"/>
      <c r="B62" s="9"/>
      <c r="C62" s="10"/>
      <c r="D62" s="10"/>
      <c r="E62" s="10"/>
      <c r="F62" s="10"/>
      <c r="G62" s="10"/>
      <c r="H62" s="31"/>
      <c r="I62" s="31"/>
      <c r="J62" s="31"/>
      <c r="K62" s="31"/>
      <c r="L62" s="31"/>
      <c r="M62" s="31"/>
    </row>
    <row r="63" spans="1:13" x14ac:dyDescent="0.25">
      <c r="A63" s="88"/>
      <c r="B63" s="9"/>
      <c r="C63" s="10"/>
      <c r="D63" s="10"/>
      <c r="E63" s="10"/>
      <c r="F63" s="10"/>
      <c r="G63" s="10"/>
      <c r="H63" s="31"/>
      <c r="I63" s="31"/>
      <c r="J63" s="31"/>
      <c r="K63" s="31"/>
      <c r="L63" s="31"/>
      <c r="M63" s="31"/>
    </row>
    <row r="64" spans="1:13" x14ac:dyDescent="0.25">
      <c r="A64" s="88"/>
      <c r="B64" s="9"/>
      <c r="C64" s="10"/>
      <c r="D64" s="10"/>
      <c r="E64" s="10"/>
      <c r="F64" s="10"/>
      <c r="G64" s="10"/>
      <c r="H64" s="31"/>
      <c r="I64" s="31"/>
      <c r="J64" s="31"/>
      <c r="K64" s="31"/>
      <c r="L64" s="31"/>
      <c r="M64" s="31"/>
    </row>
    <row r="65" spans="1:13" x14ac:dyDescent="0.25">
      <c r="A65" s="88"/>
      <c r="B65" s="9"/>
      <c r="C65" s="10"/>
      <c r="D65" s="10"/>
      <c r="E65" s="10"/>
      <c r="F65" s="10"/>
      <c r="G65" s="10"/>
      <c r="H65" s="31"/>
      <c r="I65" s="31"/>
      <c r="J65" s="31"/>
      <c r="K65" s="31"/>
      <c r="L65" s="31"/>
      <c r="M65" s="31"/>
    </row>
    <row r="66" spans="1:13" x14ac:dyDescent="0.25">
      <c r="A66" s="88"/>
      <c r="B66" s="9"/>
      <c r="C66" s="10"/>
      <c r="D66" s="10"/>
      <c r="E66" s="10"/>
      <c r="F66" s="10"/>
      <c r="G66" s="10"/>
      <c r="H66" s="31"/>
      <c r="I66" s="31"/>
      <c r="J66" s="31"/>
      <c r="K66" s="31"/>
      <c r="L66" s="31"/>
      <c r="M66" s="31"/>
    </row>
    <row r="67" spans="1:13" x14ac:dyDescent="0.25">
      <c r="A67" s="88"/>
      <c r="B67" s="9"/>
      <c r="C67" s="10"/>
      <c r="D67" s="10"/>
      <c r="E67" s="10"/>
      <c r="F67" s="10"/>
      <c r="G67" s="10"/>
      <c r="H67" s="31"/>
      <c r="I67" s="31"/>
      <c r="J67" s="31"/>
      <c r="K67" s="31"/>
      <c r="L67" s="31"/>
      <c r="M67" s="31"/>
    </row>
    <row r="68" spans="1:13" x14ac:dyDescent="0.25">
      <c r="A68" s="88"/>
      <c r="B68" s="9"/>
      <c r="C68" s="10"/>
      <c r="D68" s="10"/>
      <c r="E68" s="10"/>
      <c r="F68" s="10"/>
      <c r="G68" s="10"/>
      <c r="H68" s="31"/>
      <c r="I68" s="31"/>
      <c r="J68" s="31"/>
      <c r="K68" s="31"/>
      <c r="L68" s="31"/>
      <c r="M68" s="31"/>
    </row>
    <row r="69" spans="1:13" x14ac:dyDescent="0.25">
      <c r="A69" s="88"/>
      <c r="B69" s="9"/>
      <c r="C69" s="10"/>
      <c r="D69" s="10"/>
      <c r="E69" s="10"/>
      <c r="F69" s="10"/>
      <c r="G69" s="10"/>
      <c r="H69" s="31"/>
      <c r="I69" s="31"/>
      <c r="J69" s="31"/>
      <c r="K69" s="31"/>
      <c r="L69" s="31"/>
      <c r="M69" s="31"/>
    </row>
    <row r="70" spans="1:13" x14ac:dyDescent="0.25">
      <c r="A70" s="88"/>
      <c r="B70" s="9"/>
      <c r="C70" s="10"/>
      <c r="D70" s="10"/>
      <c r="E70" s="10"/>
      <c r="F70" s="10"/>
      <c r="G70" s="10"/>
      <c r="H70" s="31"/>
      <c r="I70" s="31"/>
      <c r="J70" s="31"/>
      <c r="K70" s="31"/>
      <c r="L70" s="31"/>
      <c r="M70" s="31"/>
    </row>
    <row r="71" spans="1:13" ht="15.75" thickBot="1" x14ac:dyDescent="0.3">
      <c r="A71" s="89"/>
      <c r="B71" s="9"/>
      <c r="C71" s="10"/>
      <c r="D71" s="10"/>
      <c r="E71" s="10"/>
      <c r="F71" s="10"/>
      <c r="G71" s="10"/>
      <c r="H71" s="31"/>
      <c r="I71" s="31"/>
      <c r="J71" s="31"/>
      <c r="K71" s="31"/>
      <c r="L71" s="31"/>
      <c r="M71" s="31"/>
    </row>
  </sheetData>
  <mergeCells count="6">
    <mergeCell ref="A38:A71"/>
    <mergeCell ref="H3:K3"/>
    <mergeCell ref="B4:G4"/>
    <mergeCell ref="H4:J4"/>
    <mergeCell ref="K4:M4"/>
    <mergeCell ref="A4:A37"/>
  </mergeCells>
  <phoneticPr fontId="17" type="noConversion"/>
  <conditionalFormatting sqref="H6:J7 H8:H9 H10:J10">
    <cfRule type="containsText" dxfId="34" priority="60" operator="containsText" text="yes">
      <formula>NOT(ISERROR(SEARCH("yes",H6)))</formula>
    </cfRule>
  </conditionalFormatting>
  <conditionalFormatting sqref="H6:J7 H8:H9 H10:J15">
    <cfRule type="containsText" dxfId="33" priority="61" operator="containsText" text="no">
      <formula>NOT(ISERROR(SEARCH("no",H6)))</formula>
    </cfRule>
  </conditionalFormatting>
  <conditionalFormatting sqref="H16:J25">
    <cfRule type="containsText" dxfId="32" priority="16" operator="containsText" text="no">
      <formula>NOT(ISERROR(SEARCH("no",H16)))</formula>
    </cfRule>
    <cfRule type="containsText" dxfId="31" priority="17" operator="containsText" text="yes">
      <formula>NOT(ISERROR(SEARCH("yes",H16)))</formula>
    </cfRule>
  </conditionalFormatting>
  <conditionalFormatting sqref="H46:J48 H53:J71 H11:J15">
    <cfRule type="containsText" dxfId="30" priority="68" operator="containsText" text="yes">
      <formula>NOT(ISERROR(SEARCH("yes",H11)))</formula>
    </cfRule>
  </conditionalFormatting>
  <conditionalFormatting sqref="H46:J48 H53:J71">
    <cfRule type="containsText" dxfId="29" priority="67" operator="containsText" text="no">
      <formula>NOT(ISERROR(SEARCH("no",H46)))</formula>
    </cfRule>
  </conditionalFormatting>
  <conditionalFormatting sqref="I8:L9">
    <cfRule type="containsText" dxfId="28" priority="46" operator="containsText" text="yes">
      <formula>NOT(ISERROR(SEARCH("yes",I8)))</formula>
    </cfRule>
    <cfRule type="containsText" dxfId="27" priority="45" operator="containsText" text="no">
      <formula>NOT(ISERROR(SEARCH("no",I8)))</formula>
    </cfRule>
  </conditionalFormatting>
  <conditionalFormatting sqref="K12:K15 K16:L16 K19:L19 K22:L23 K46:L48 K53:L71 K11:L11 L20">
    <cfRule type="containsText" dxfId="26" priority="64" operator="containsText" text="partly">
      <formula>NOT(ISERROR(SEARCH("partly",K11)))</formula>
    </cfRule>
  </conditionalFormatting>
  <conditionalFormatting sqref="K12:K15 K16:L16 K19:L19 K22:L23 K46:L48 K53:L71">
    <cfRule type="containsText" dxfId="25" priority="63" operator="containsText" text="yes">
      <formula>NOT(ISERROR(SEARCH("yes",K12)))</formula>
    </cfRule>
    <cfRule type="containsText" dxfId="24" priority="62" operator="containsText" text="no">
      <formula>NOT(ISERROR(SEARCH("no",K12)))</formula>
    </cfRule>
  </conditionalFormatting>
  <conditionalFormatting sqref="K17:K18">
    <cfRule type="containsText" dxfId="23" priority="4" operator="containsText" text="no">
      <formula>NOT(ISERROR(SEARCH("no",K17)))</formula>
    </cfRule>
    <cfRule type="containsText" dxfId="22" priority="5" operator="containsText" text="yes">
      <formula>NOT(ISERROR(SEARCH("yes",K17)))</formula>
    </cfRule>
    <cfRule type="containsText" dxfId="21" priority="6" operator="containsText" text="partly">
      <formula>NOT(ISERROR(SEARCH("partly",K17)))</formula>
    </cfRule>
  </conditionalFormatting>
  <conditionalFormatting sqref="K20:K21">
    <cfRule type="containsText" dxfId="20" priority="2" operator="containsText" text="yes">
      <formula>NOT(ISERROR(SEARCH("yes",K20)))</formula>
    </cfRule>
    <cfRule type="containsText" dxfId="19" priority="3" operator="containsText" text="partly">
      <formula>NOT(ISERROR(SEARCH("partly",K20)))</formula>
    </cfRule>
    <cfRule type="containsText" dxfId="18" priority="1" operator="containsText" text="no">
      <formula>NOT(ISERROR(SEARCH("no",K20)))</formula>
    </cfRule>
  </conditionalFormatting>
  <conditionalFormatting sqref="K24:K25">
    <cfRule type="containsText" dxfId="17" priority="52" operator="containsText" text="no">
      <formula>NOT(ISERROR(SEARCH("no",K24)))</formula>
    </cfRule>
    <cfRule type="containsText" dxfId="16" priority="53" operator="containsText" text="yes">
      <formula>NOT(ISERROR(SEARCH("yes",K24)))</formula>
    </cfRule>
    <cfRule type="containsText" dxfId="15" priority="54" operator="containsText" text="partly">
      <formula>NOT(ISERROR(SEARCH("partly",K24)))</formula>
    </cfRule>
  </conditionalFormatting>
  <conditionalFormatting sqref="K6:L7 K10:L10">
    <cfRule type="containsText" dxfId="14" priority="57" operator="containsText" text="partly">
      <formula>NOT(ISERROR(SEARCH("partly",K6)))</formula>
    </cfRule>
  </conditionalFormatting>
  <conditionalFormatting sqref="K6:L7 K10:L11">
    <cfRule type="containsText" dxfId="13" priority="58" operator="containsText" text="no">
      <formula>NOT(ISERROR(SEARCH("no",K6)))</formula>
    </cfRule>
    <cfRule type="containsText" dxfId="12" priority="59" operator="containsText" text="yes">
      <formula>NOT(ISERROR(SEARCH("yes",K6)))</formula>
    </cfRule>
  </conditionalFormatting>
  <conditionalFormatting sqref="L12:L15">
    <cfRule type="containsText" dxfId="11" priority="7" operator="containsText" text="partly">
      <formula>NOT(ISERROR(SEARCH("partly",L12)))</formula>
    </cfRule>
    <cfRule type="containsText" dxfId="10" priority="9" operator="containsText" text="yes">
      <formula>NOT(ISERROR(SEARCH("yes",L12)))</formula>
    </cfRule>
    <cfRule type="containsText" dxfId="9" priority="8" operator="containsText" text="no">
      <formula>NOT(ISERROR(SEARCH("no",L12)))</formula>
    </cfRule>
  </conditionalFormatting>
  <conditionalFormatting sqref="L17:L18">
    <cfRule type="containsText" dxfId="8" priority="12" operator="containsText" text="yes">
      <formula>NOT(ISERROR(SEARCH("yes",L17)))</formula>
    </cfRule>
    <cfRule type="containsText" dxfId="7" priority="11" operator="containsText" text="no">
      <formula>NOT(ISERROR(SEARCH("no",L17)))</formula>
    </cfRule>
    <cfRule type="containsText" dxfId="6" priority="10" operator="containsText" text="partly">
      <formula>NOT(ISERROR(SEARCH("partly",L17)))</formula>
    </cfRule>
  </conditionalFormatting>
  <conditionalFormatting sqref="L20:L21">
    <cfRule type="containsText" dxfId="5" priority="36" operator="containsText" text="yes">
      <formula>NOT(ISERROR(SEARCH("yes",L20)))</formula>
    </cfRule>
    <cfRule type="containsText" dxfId="4" priority="35" operator="containsText" text="no">
      <formula>NOT(ISERROR(SEARCH("no",L20)))</formula>
    </cfRule>
  </conditionalFormatting>
  <conditionalFormatting sqref="L21">
    <cfRule type="containsText" dxfId="3" priority="34" operator="containsText" text="partly">
      <formula>NOT(ISERROR(SEARCH("partly",L21)))</formula>
    </cfRule>
  </conditionalFormatting>
  <conditionalFormatting sqref="L24:L25">
    <cfRule type="containsText" dxfId="2" priority="43" operator="containsText" text="no">
      <formula>NOT(ISERROR(SEARCH("no",L24)))</formula>
    </cfRule>
    <cfRule type="containsText" dxfId="1" priority="44" operator="containsText" text="yes">
      <formula>NOT(ISERROR(SEARCH("yes",L24)))</formula>
    </cfRule>
    <cfRule type="containsText" dxfId="0" priority="42" operator="containsText" text="partly">
      <formula>NOT(ISERROR(SEARCH("partly",L24)))</formula>
    </cfRule>
  </conditionalFormatting>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FC589-364A-40AF-B606-AF3326283731}">
  <sheetPr codeName="Sheet4">
    <tabColor theme="5" tint="-0.249977111117893"/>
  </sheetPr>
  <dimension ref="A1:V42"/>
  <sheetViews>
    <sheetView zoomScale="70" zoomScaleNormal="70" workbookViewId="0">
      <pane xSplit="2" topLeftCell="C1" activePane="topRight" state="frozen"/>
      <selection pane="topRight" activeCell="B16" sqref="B16"/>
    </sheetView>
  </sheetViews>
  <sheetFormatPr defaultRowHeight="15" x14ac:dyDescent="0.25"/>
  <cols>
    <col min="1" max="1" width="15.140625" style="49" bestFit="1" customWidth="1"/>
    <col min="2" max="2" width="31.28515625" style="56" bestFit="1" customWidth="1"/>
    <col min="3" max="3" width="17.7109375" style="50" bestFit="1" customWidth="1"/>
    <col min="4" max="4" width="18.140625" style="9" bestFit="1" customWidth="1"/>
    <col min="5" max="11" width="15.42578125" style="9" bestFit="1" customWidth="1"/>
    <col min="12" max="12" width="16.7109375" style="9" bestFit="1" customWidth="1"/>
    <col min="13" max="13" width="16" style="9" bestFit="1" customWidth="1"/>
    <col min="14" max="21" width="16.7109375" style="9" bestFit="1" customWidth="1"/>
    <col min="22" max="22" width="18" style="9" customWidth="1"/>
    <col min="23" max="16384" width="9.140625" style="9"/>
  </cols>
  <sheetData>
    <row r="1" spans="1:22" s="30" customFormat="1" ht="15.75" x14ac:dyDescent="0.25">
      <c r="A1" s="48" t="s">
        <v>56</v>
      </c>
      <c r="B1" s="57" t="s">
        <v>80</v>
      </c>
      <c r="C1" s="60" t="s">
        <v>35</v>
      </c>
      <c r="D1" s="30" t="s">
        <v>36</v>
      </c>
      <c r="E1" s="30" t="s">
        <v>37</v>
      </c>
      <c r="F1" s="30" t="s">
        <v>38</v>
      </c>
      <c r="G1" s="30" t="s">
        <v>39</v>
      </c>
      <c r="H1" s="30" t="s">
        <v>40</v>
      </c>
      <c r="I1" s="30" t="s">
        <v>41</v>
      </c>
      <c r="J1" s="30" t="s">
        <v>42</v>
      </c>
      <c r="K1" s="30" t="s">
        <v>43</v>
      </c>
      <c r="L1" s="30" t="s">
        <v>44</v>
      </c>
      <c r="M1" s="30" t="s">
        <v>45</v>
      </c>
      <c r="N1" s="30" t="s">
        <v>46</v>
      </c>
      <c r="O1" s="30" t="s">
        <v>47</v>
      </c>
      <c r="P1" s="30" t="s">
        <v>48</v>
      </c>
      <c r="Q1" s="30" t="s">
        <v>49</v>
      </c>
      <c r="R1" s="30" t="s">
        <v>50</v>
      </c>
      <c r="S1" s="30" t="s">
        <v>51</v>
      </c>
      <c r="T1" s="30" t="s">
        <v>52</v>
      </c>
      <c r="U1" s="30" t="s">
        <v>53</v>
      </c>
      <c r="V1" s="30" t="s">
        <v>54</v>
      </c>
    </row>
    <row r="2" spans="1:22" x14ac:dyDescent="0.25">
      <c r="A2" s="49" t="s">
        <v>15</v>
      </c>
      <c r="B2" s="54" t="s">
        <v>106</v>
      </c>
      <c r="C2" s="51">
        <v>4809760922</v>
      </c>
      <c r="D2" s="41">
        <v>5018792537</v>
      </c>
      <c r="E2" s="42">
        <v>5201056007</v>
      </c>
      <c r="F2" s="42">
        <v>5361754112</v>
      </c>
      <c r="G2" s="42">
        <v>5512221017</v>
      </c>
      <c r="H2" s="42">
        <v>5133792702</v>
      </c>
      <c r="I2" s="42">
        <v>5827784401</v>
      </c>
      <c r="J2" s="42">
        <v>5168519533</v>
      </c>
      <c r="K2" s="42">
        <v>5420460050</v>
      </c>
      <c r="L2" s="42">
        <v>5664812407</v>
      </c>
      <c r="M2" s="42">
        <v>6078485765</v>
      </c>
      <c r="N2" s="42">
        <v>4862429821</v>
      </c>
      <c r="O2" s="42">
        <v>6227350167</v>
      </c>
      <c r="P2" s="42">
        <v>6114125967</v>
      </c>
      <c r="Q2" s="42">
        <v>4631449151</v>
      </c>
      <c r="R2" s="42">
        <v>6257761820</v>
      </c>
      <c r="S2" s="42">
        <v>4878255504</v>
      </c>
      <c r="T2" s="42">
        <v>4430906697</v>
      </c>
      <c r="U2" s="42">
        <v>5141492728</v>
      </c>
      <c r="V2" s="42">
        <v>4480046314</v>
      </c>
    </row>
    <row r="3" spans="1:22" x14ac:dyDescent="0.25">
      <c r="A3" s="49" t="s">
        <v>15</v>
      </c>
      <c r="B3" s="55" t="s">
        <v>199</v>
      </c>
      <c r="C3" s="52">
        <v>274359715.07999998</v>
      </c>
      <c r="D3" s="44">
        <v>286808453.05000001</v>
      </c>
      <c r="E3" s="41">
        <v>304188237.02999997</v>
      </c>
      <c r="F3" s="9">
        <v>322087347.32999998</v>
      </c>
      <c r="G3" s="41">
        <v>341855413.88</v>
      </c>
      <c r="H3" s="41">
        <v>363793354.82999998</v>
      </c>
      <c r="I3" s="45">
        <v>368234137.60000002</v>
      </c>
      <c r="J3" s="41">
        <v>323513095</v>
      </c>
      <c r="K3" s="41">
        <v>334536383.19999999</v>
      </c>
      <c r="L3" s="41">
        <v>368990402.75999999</v>
      </c>
      <c r="M3" s="41">
        <v>395989930.12</v>
      </c>
      <c r="N3" s="41">
        <v>308042308.76999998</v>
      </c>
      <c r="O3" s="41">
        <v>406499579.50999999</v>
      </c>
      <c r="P3" s="41">
        <v>437475051.66000003</v>
      </c>
      <c r="Q3" s="41">
        <v>354790420.43000001</v>
      </c>
      <c r="R3" s="41">
        <v>434956764.17000002</v>
      </c>
      <c r="S3" s="41">
        <v>337139104.01999998</v>
      </c>
      <c r="T3" s="41">
        <v>352621504.87</v>
      </c>
      <c r="U3" s="41">
        <v>368997713</v>
      </c>
      <c r="V3" s="41">
        <v>319527613</v>
      </c>
    </row>
    <row r="4" spans="1:22" x14ac:dyDescent="0.25">
      <c r="A4" s="49" t="s">
        <v>15</v>
      </c>
      <c r="B4" s="55" t="s">
        <v>200</v>
      </c>
      <c r="C4" s="52">
        <v>251619515.61000001</v>
      </c>
      <c r="D4" s="44">
        <v>263036444.72999999</v>
      </c>
      <c r="E4" s="41">
        <v>278975712</v>
      </c>
      <c r="F4" s="9">
        <v>295391261.43000001</v>
      </c>
      <c r="G4" s="41">
        <v>313520859.38999999</v>
      </c>
      <c r="H4" s="41">
        <v>333640482.54000002</v>
      </c>
      <c r="I4" s="41">
        <v>337713192.73000002</v>
      </c>
      <c r="J4" s="41">
        <v>296698836.55000001</v>
      </c>
      <c r="K4" s="41">
        <v>306808463.75</v>
      </c>
      <c r="L4" s="41">
        <v>338406775.14999998</v>
      </c>
      <c r="M4" s="41">
        <v>363168457.06999999</v>
      </c>
      <c r="N4" s="41">
        <v>282510340.48000002</v>
      </c>
      <c r="O4" s="41">
        <v>372807018.20999998</v>
      </c>
      <c r="P4" s="41">
        <v>401215100.25999999</v>
      </c>
      <c r="Q4" s="41">
        <v>325383752.88999999</v>
      </c>
      <c r="R4" s="41">
        <v>398905540</v>
      </c>
      <c r="S4" s="41">
        <v>309195459.05000001</v>
      </c>
      <c r="T4" s="41">
        <v>323394607</v>
      </c>
      <c r="U4" s="41">
        <v>338413479</v>
      </c>
      <c r="V4" s="41">
        <v>319527613</v>
      </c>
    </row>
    <row r="5" spans="1:22" x14ac:dyDescent="0.25">
      <c r="A5" s="9" t="s">
        <v>16</v>
      </c>
      <c r="B5" s="55" t="s">
        <v>201</v>
      </c>
      <c r="C5" s="9">
        <v>1.1698730226364846E-2</v>
      </c>
      <c r="D5" s="9">
        <v>1.1942960019865905E-2</v>
      </c>
      <c r="E5" s="9">
        <v>1.2075164305221634E-2</v>
      </c>
      <c r="F5" s="9">
        <v>1.1905047475024112E-2</v>
      </c>
      <c r="G5" s="9">
        <v>1.1698730226364846E-2</v>
      </c>
      <c r="H5" s="9">
        <v>1.1845481121605959E-2</v>
      </c>
      <c r="I5" s="9">
        <v>1.2150085120132943E-2</v>
      </c>
      <c r="J5" s="9">
        <v>1.1857736256783394E-2</v>
      </c>
      <c r="K5" s="9">
        <v>1.2152380767900381E-2</v>
      </c>
      <c r="L5" s="9">
        <v>1.2301843358938707E-2</v>
      </c>
      <c r="M5" s="9">
        <v>1.1856715732249336E-2</v>
      </c>
      <c r="N5" s="9">
        <v>1.164850263359821E-2</v>
      </c>
      <c r="O5" s="9">
        <v>1.1982436193256734E-2</v>
      </c>
      <c r="P5" s="9">
        <v>1.2707867486923052E-2</v>
      </c>
      <c r="Q5" s="9">
        <v>1.2439276317114941E-2</v>
      </c>
      <c r="R5" s="9">
        <v>1.2075164305221634E-2</v>
      </c>
      <c r="S5" s="9">
        <v>1.2063888397557379E-2</v>
      </c>
      <c r="T5" s="9">
        <v>1.2987010287775257E-2</v>
      </c>
      <c r="U5" s="9">
        <v>1.2124755038687856E-2</v>
      </c>
      <c r="V5" s="9">
        <v>1.2245147631419319E-2</v>
      </c>
    </row>
    <row r="6" spans="1:22" x14ac:dyDescent="0.25">
      <c r="A6" s="9" t="s">
        <v>16</v>
      </c>
      <c r="B6" s="43" t="s">
        <v>204</v>
      </c>
      <c r="C6" s="9">
        <v>7537743.3600000003</v>
      </c>
      <c r="D6" s="9">
        <v>8281781.7599999998</v>
      </c>
      <c r="E6" s="9">
        <v>8499584</v>
      </c>
      <c r="F6" s="9">
        <v>8193866.2400000002</v>
      </c>
      <c r="G6" s="9">
        <v>7537743.3600000003</v>
      </c>
      <c r="H6" s="9">
        <v>7866260.4800000004</v>
      </c>
      <c r="I6" s="9">
        <v>8658252.8000000007</v>
      </c>
      <c r="J6" s="9">
        <v>7981450.2400000002</v>
      </c>
      <c r="K6" s="9">
        <v>8667755.5199999996</v>
      </c>
      <c r="L6" s="9">
        <v>8894632.9600000009</v>
      </c>
      <c r="M6" s="9">
        <v>7930831.3600000003</v>
      </c>
      <c r="N6" s="9">
        <v>7312975.3600000003</v>
      </c>
      <c r="O6" s="9">
        <v>8350853.1200000001</v>
      </c>
      <c r="P6" s="9">
        <v>9599270.4000000004</v>
      </c>
      <c r="Q6" s="9">
        <v>9174658.5600000005</v>
      </c>
      <c r="R6" s="9">
        <v>8499584</v>
      </c>
      <c r="S6" s="9">
        <v>8470502.4000000004</v>
      </c>
      <c r="T6" s="9">
        <v>9936166.4000000004</v>
      </c>
      <c r="U6" s="9">
        <v>8605112.3200000003</v>
      </c>
      <c r="V6" s="9">
        <v>8809730.5600000005</v>
      </c>
    </row>
    <row r="7" spans="1:22" x14ac:dyDescent="0.25">
      <c r="A7" s="49" t="s">
        <v>16</v>
      </c>
      <c r="B7" s="64" t="s">
        <v>202</v>
      </c>
      <c r="C7" s="9">
        <v>21619.175424000001</v>
      </c>
      <c r="D7" s="9">
        <v>24056.524800000003</v>
      </c>
      <c r="E7" s="9">
        <v>24851.582976000005</v>
      </c>
      <c r="F7" s="9">
        <v>23755.505664000004</v>
      </c>
      <c r="G7" s="9">
        <v>21619.175424000001</v>
      </c>
      <c r="H7" s="9">
        <v>22736.203775999998</v>
      </c>
      <c r="I7" s="9">
        <v>25407.393792000003</v>
      </c>
      <c r="J7" s="9">
        <v>23083.720703999999</v>
      </c>
      <c r="K7" s="9">
        <v>25438.076928000002</v>
      </c>
      <c r="L7" s="9">
        <v>26288.148480000003</v>
      </c>
      <c r="M7" s="9">
        <v>22936.117247999999</v>
      </c>
      <c r="N7" s="9">
        <v>20917.788671999999</v>
      </c>
      <c r="O7" s="9">
        <v>24305.233920000002</v>
      </c>
      <c r="P7" s="9">
        <v>28883.509248000002</v>
      </c>
      <c r="Q7" s="9">
        <v>27285.823488000005</v>
      </c>
      <c r="R7" s="9">
        <v>24851.582976000005</v>
      </c>
      <c r="S7" s="9">
        <v>24752.910336000004</v>
      </c>
      <c r="T7" s="9">
        <v>30239.920128000005</v>
      </c>
      <c r="U7" s="9">
        <v>25220.726784000002</v>
      </c>
      <c r="V7" s="9">
        <v>25968.611328000003</v>
      </c>
    </row>
    <row r="8" spans="1:22" x14ac:dyDescent="0.25">
      <c r="A8" s="49" t="s">
        <v>16</v>
      </c>
      <c r="B8" s="55" t="s">
        <v>203</v>
      </c>
      <c r="C8" s="9">
        <v>65455.487999999998</v>
      </c>
      <c r="D8" s="9">
        <v>72672.2304</v>
      </c>
      <c r="E8" s="9">
        <v>74988.006399999998</v>
      </c>
      <c r="F8" s="9">
        <v>71787.059200000003</v>
      </c>
      <c r="G8" s="9">
        <v>65455.487999999998</v>
      </c>
      <c r="H8" s="9">
        <v>68743.705600000001</v>
      </c>
      <c r="I8" s="9">
        <v>76616.780800000008</v>
      </c>
      <c r="J8" s="9">
        <v>69786.675199999998</v>
      </c>
      <c r="K8" s="9">
        <v>76707.839999999997</v>
      </c>
      <c r="L8" s="9">
        <v>79174.630400000009</v>
      </c>
      <c r="M8" s="9">
        <v>69341.081600000005</v>
      </c>
      <c r="N8" s="9">
        <v>63362.355199999998</v>
      </c>
      <c r="O8" s="9">
        <v>73398.092800000013</v>
      </c>
      <c r="P8" s="9">
        <v>86724.403200000001</v>
      </c>
      <c r="Q8" s="9">
        <v>82090.905599999998</v>
      </c>
      <c r="R8" s="9">
        <v>74988.006399999998</v>
      </c>
      <c r="S8" s="9">
        <v>74697.446400000001</v>
      </c>
      <c r="T8" s="9">
        <v>90621.875199999995</v>
      </c>
      <c r="U8" s="9">
        <v>76069.990399999995</v>
      </c>
      <c r="V8" s="9">
        <v>78247.96160000001</v>
      </c>
    </row>
    <row r="9" spans="1:22" x14ac:dyDescent="0.25">
      <c r="A9" s="49" t="s">
        <v>16</v>
      </c>
      <c r="B9" s="55" t="s">
        <v>205</v>
      </c>
      <c r="C9" s="9">
        <v>11353.879616000002</v>
      </c>
      <c r="D9" s="9">
        <v>12252.601109333333</v>
      </c>
      <c r="E9" s="9">
        <v>13077.896261333333</v>
      </c>
      <c r="F9" s="9">
        <v>11190.440274166669</v>
      </c>
      <c r="G9" s="9">
        <v>8919.9918500000003</v>
      </c>
      <c r="H9" s="9">
        <v>9990.2866095000008</v>
      </c>
      <c r="I9" s="9">
        <v>10812.052489333335</v>
      </c>
      <c r="J9" s="9">
        <v>10644.675631333332</v>
      </c>
      <c r="K9" s="9">
        <v>11764.403261333333</v>
      </c>
      <c r="L9" s="9">
        <v>11290.734288000001</v>
      </c>
      <c r="M9" s="9">
        <v>8071.1252859999995</v>
      </c>
      <c r="N9" s="9">
        <v>9111.885839999999</v>
      </c>
      <c r="O9" s="9">
        <v>8411.5527300000012</v>
      </c>
      <c r="P9" s="9">
        <v>11316.412299102039</v>
      </c>
      <c r="Q9" s="9">
        <v>13656.531817496598</v>
      </c>
      <c r="R9" s="9">
        <v>8328.914209999999</v>
      </c>
      <c r="S9" s="9">
        <v>11456.434668666667</v>
      </c>
      <c r="T9" s="9">
        <v>13707.591983589744</v>
      </c>
      <c r="U9" s="9">
        <v>10888.948967</v>
      </c>
      <c r="V9" s="9">
        <v>13223.273706333333</v>
      </c>
    </row>
    <row r="10" spans="1:22" x14ac:dyDescent="0.25">
      <c r="A10" s="49" t="s">
        <v>16</v>
      </c>
      <c r="B10" s="59" t="s">
        <v>206</v>
      </c>
      <c r="C10" s="41">
        <v>207585280</v>
      </c>
      <c r="D10" s="41">
        <v>239124480</v>
      </c>
      <c r="E10" s="41">
        <v>251328000</v>
      </c>
      <c r="F10" s="41">
        <v>234923520</v>
      </c>
      <c r="G10" s="41">
        <v>207585280</v>
      </c>
      <c r="H10" s="41">
        <v>222999040</v>
      </c>
      <c r="I10" s="41">
        <v>259366400</v>
      </c>
      <c r="J10" s="41">
        <v>226795520</v>
      </c>
      <c r="K10" s="41">
        <v>259752960</v>
      </c>
      <c r="L10" s="41">
        <v>273262080</v>
      </c>
      <c r="M10" s="41">
        <v>225313280</v>
      </c>
      <c r="N10" s="41">
        <v>199329280</v>
      </c>
      <c r="O10" s="41">
        <v>242869760</v>
      </c>
      <c r="P10" s="41">
        <v>313587200</v>
      </c>
      <c r="Q10" s="41">
        <v>288058880</v>
      </c>
      <c r="R10" s="41">
        <v>251328000</v>
      </c>
      <c r="S10" s="41">
        <v>249971200</v>
      </c>
      <c r="T10" s="41">
        <v>337075200</v>
      </c>
      <c r="U10" s="41">
        <v>256655360</v>
      </c>
      <c r="V10" s="41">
        <v>268154880</v>
      </c>
    </row>
    <row r="11" spans="1:22" x14ac:dyDescent="0.25">
      <c r="A11" s="9" t="s">
        <v>16</v>
      </c>
      <c r="B11" s="43" t="s">
        <v>207</v>
      </c>
      <c r="C11" s="62">
        <v>7784448</v>
      </c>
      <c r="D11" s="62">
        <v>8967168</v>
      </c>
      <c r="E11" s="62">
        <v>9424800</v>
      </c>
      <c r="F11" s="62">
        <v>8809632</v>
      </c>
      <c r="G11" s="62">
        <v>7784448</v>
      </c>
      <c r="H11" s="62">
        <v>8362464</v>
      </c>
      <c r="I11" s="62">
        <v>9726240</v>
      </c>
      <c r="J11" s="62">
        <v>8504832</v>
      </c>
      <c r="K11" s="62">
        <v>9740736</v>
      </c>
      <c r="L11" s="62">
        <v>10247328</v>
      </c>
      <c r="M11" s="62">
        <v>8449248</v>
      </c>
      <c r="N11" s="62">
        <v>7474848</v>
      </c>
      <c r="O11" s="62">
        <v>9107616</v>
      </c>
      <c r="P11" s="62">
        <v>11759520</v>
      </c>
      <c r="Q11" s="62">
        <v>10802208</v>
      </c>
      <c r="R11" s="62">
        <v>9424800</v>
      </c>
      <c r="S11" s="62">
        <v>9373920</v>
      </c>
      <c r="T11" s="62">
        <v>12640320</v>
      </c>
      <c r="U11" s="62">
        <v>9624576</v>
      </c>
      <c r="V11" s="62">
        <v>10055808</v>
      </c>
    </row>
    <row r="12" spans="1:22" x14ac:dyDescent="0.25">
      <c r="A12" s="9" t="s">
        <v>16</v>
      </c>
      <c r="B12" s="43" t="s">
        <v>208</v>
      </c>
      <c r="C12" s="9">
        <v>354.80873800000006</v>
      </c>
      <c r="D12" s="9">
        <v>382.89378466666665</v>
      </c>
      <c r="E12" s="9">
        <v>408.68425816666667</v>
      </c>
      <c r="F12" s="9">
        <v>386.02354033333336</v>
      </c>
      <c r="G12" s="9">
        <v>356.79967400000004</v>
      </c>
      <c r="H12" s="9">
        <v>372.03453883333333</v>
      </c>
      <c r="I12" s="9">
        <v>415.8481726666667</v>
      </c>
      <c r="J12" s="9">
        <v>380.16698683333328</v>
      </c>
      <c r="K12" s="9">
        <v>420.15725933333334</v>
      </c>
      <c r="L12" s="9">
        <v>420.55852565986396</v>
      </c>
      <c r="M12" s="9">
        <v>384.33929933333332</v>
      </c>
      <c r="N12" s="9">
        <v>342.62490933333333</v>
      </c>
      <c r="O12" s="9">
        <v>400.55013000000002</v>
      </c>
      <c r="P12" s="9">
        <v>471.51717912925164</v>
      </c>
      <c r="Q12" s="9">
        <v>440.53328443537413</v>
      </c>
      <c r="R12" s="9">
        <v>416.44571049999996</v>
      </c>
      <c r="S12" s="9">
        <v>407.72428250000002</v>
      </c>
      <c r="T12" s="9">
        <v>428.3622494871795</v>
      </c>
      <c r="U12" s="9">
        <v>418.80572949999998</v>
      </c>
      <c r="V12" s="9">
        <v>426.55721633333332</v>
      </c>
    </row>
    <row r="13" spans="1:22" x14ac:dyDescent="0.25">
      <c r="A13" s="9" t="s">
        <v>17</v>
      </c>
      <c r="B13" s="47" t="s">
        <v>209</v>
      </c>
      <c r="C13" s="45">
        <v>643</v>
      </c>
      <c r="D13" s="45">
        <v>676</v>
      </c>
      <c r="E13" s="45">
        <v>709</v>
      </c>
      <c r="F13" s="45">
        <v>742</v>
      </c>
      <c r="G13" s="45">
        <v>775</v>
      </c>
      <c r="H13" s="45">
        <v>808</v>
      </c>
      <c r="I13" s="45">
        <v>842</v>
      </c>
      <c r="J13" s="45">
        <v>709</v>
      </c>
      <c r="K13" s="45">
        <v>749</v>
      </c>
      <c r="L13" s="45">
        <v>802</v>
      </c>
      <c r="M13" s="45">
        <v>1008</v>
      </c>
      <c r="N13" s="45">
        <v>708</v>
      </c>
      <c r="O13" s="45">
        <v>1050</v>
      </c>
      <c r="P13" s="45">
        <v>1093</v>
      </c>
      <c r="Q13" s="45">
        <v>841</v>
      </c>
      <c r="R13" s="45">
        <v>1180</v>
      </c>
      <c r="S13" s="45">
        <v>808</v>
      </c>
      <c r="T13" s="45">
        <v>842</v>
      </c>
      <c r="U13" s="45">
        <v>875</v>
      </c>
      <c r="V13" s="45">
        <v>775</v>
      </c>
    </row>
    <row r="14" spans="1:22" x14ac:dyDescent="0.25">
      <c r="A14" s="49" t="s">
        <v>17</v>
      </c>
      <c r="B14" s="54" t="s">
        <v>210</v>
      </c>
      <c r="C14" s="50">
        <v>32</v>
      </c>
      <c r="D14" s="41">
        <v>33</v>
      </c>
      <c r="E14" s="42">
        <v>32</v>
      </c>
      <c r="F14" s="41">
        <v>29</v>
      </c>
      <c r="G14" s="9">
        <v>25</v>
      </c>
      <c r="H14" s="9">
        <v>27</v>
      </c>
      <c r="I14" s="9">
        <v>26</v>
      </c>
      <c r="J14" s="9">
        <v>28</v>
      </c>
      <c r="K14" s="9">
        <v>28</v>
      </c>
      <c r="L14" s="9">
        <v>27</v>
      </c>
      <c r="M14" s="9">
        <v>21</v>
      </c>
      <c r="N14" s="9">
        <v>26</v>
      </c>
      <c r="O14" s="9">
        <v>21</v>
      </c>
      <c r="P14" s="9">
        <v>24</v>
      </c>
      <c r="Q14" s="9">
        <v>31</v>
      </c>
      <c r="R14" s="9">
        <v>20</v>
      </c>
      <c r="S14" s="9">
        <v>28</v>
      </c>
      <c r="T14" s="9">
        <v>34</v>
      </c>
      <c r="U14" s="9">
        <v>26</v>
      </c>
      <c r="V14" s="9">
        <v>31</v>
      </c>
    </row>
    <row r="15" spans="1:22" x14ac:dyDescent="0.25">
      <c r="A15" s="9" t="s">
        <v>17</v>
      </c>
      <c r="B15" s="40" t="s">
        <v>211</v>
      </c>
      <c r="C15" s="45">
        <v>77.8</v>
      </c>
      <c r="D15" s="9">
        <v>77.400000000000006</v>
      </c>
      <c r="E15" s="9">
        <v>77.2</v>
      </c>
      <c r="F15" s="9">
        <v>77.400000000000006</v>
      </c>
      <c r="G15" s="45">
        <v>77.8</v>
      </c>
      <c r="H15" s="9">
        <v>77.599999999999994</v>
      </c>
      <c r="I15" s="9">
        <v>77.099999999999994</v>
      </c>
      <c r="J15" s="9">
        <v>77.5</v>
      </c>
      <c r="K15" s="9">
        <v>77.099999999999994</v>
      </c>
      <c r="L15" s="9">
        <v>76.900000000000006</v>
      </c>
      <c r="M15" s="9">
        <v>77.5</v>
      </c>
      <c r="N15" s="9">
        <v>77.900000000000006</v>
      </c>
      <c r="O15" s="9">
        <v>77.3</v>
      </c>
      <c r="P15" s="9">
        <v>76.2</v>
      </c>
      <c r="Q15" s="9">
        <v>76.7</v>
      </c>
      <c r="R15" s="9">
        <v>77.2</v>
      </c>
      <c r="S15" s="9">
        <v>77.2</v>
      </c>
      <c r="T15" s="9">
        <v>75.599999999999994</v>
      </c>
      <c r="U15" s="9">
        <v>77.099999999999994</v>
      </c>
      <c r="V15" s="9">
        <v>77</v>
      </c>
    </row>
    <row r="16" spans="1:22" x14ac:dyDescent="0.25">
      <c r="A16" s="49" t="s">
        <v>17</v>
      </c>
      <c r="B16" s="58" t="s">
        <v>212</v>
      </c>
      <c r="C16" s="50">
        <v>48</v>
      </c>
      <c r="D16" s="46">
        <v>48</v>
      </c>
      <c r="E16" s="41">
        <v>48</v>
      </c>
      <c r="F16" s="41">
        <v>48</v>
      </c>
      <c r="G16" s="42">
        <v>48</v>
      </c>
      <c r="H16" s="41">
        <v>48</v>
      </c>
      <c r="I16" s="9">
        <v>48</v>
      </c>
      <c r="J16" s="9">
        <v>48</v>
      </c>
      <c r="K16" s="9">
        <v>48</v>
      </c>
      <c r="L16" s="9">
        <v>49</v>
      </c>
      <c r="M16" s="9">
        <v>48</v>
      </c>
      <c r="N16" s="9">
        <v>48</v>
      </c>
      <c r="O16" s="9">
        <v>48</v>
      </c>
      <c r="P16" s="9">
        <v>49</v>
      </c>
      <c r="Q16" s="9">
        <v>49</v>
      </c>
      <c r="R16" s="9">
        <v>48</v>
      </c>
      <c r="S16" s="9">
        <v>48</v>
      </c>
      <c r="T16" s="9">
        <v>52</v>
      </c>
      <c r="U16" s="9">
        <v>48</v>
      </c>
      <c r="V16" s="9">
        <v>48</v>
      </c>
    </row>
    <row r="20" spans="3:8" x14ac:dyDescent="0.25">
      <c r="D20" s="46"/>
      <c r="E20" s="41"/>
      <c r="F20" s="41"/>
      <c r="G20" s="42"/>
      <c r="H20" s="41"/>
    </row>
    <row r="21" spans="3:8" x14ac:dyDescent="0.25">
      <c r="D21" s="46"/>
      <c r="E21" s="41"/>
      <c r="F21" s="41"/>
      <c r="G21" s="42"/>
      <c r="H21" s="41"/>
    </row>
    <row r="22" spans="3:8" x14ac:dyDescent="0.25">
      <c r="C22" s="53"/>
      <c r="D22" s="46"/>
      <c r="E22" s="41"/>
      <c r="F22" s="41"/>
      <c r="G22" s="42"/>
      <c r="H22" s="41"/>
    </row>
    <row r="25" spans="3:8" x14ac:dyDescent="0.25">
      <c r="E25" s="41"/>
    </row>
    <row r="26" spans="3:8" x14ac:dyDescent="0.25">
      <c r="E26" s="41"/>
    </row>
    <row r="27" spans="3:8" x14ac:dyDescent="0.25">
      <c r="E27" s="41"/>
    </row>
    <row r="28" spans="3:8" x14ac:dyDescent="0.25">
      <c r="E28" s="41"/>
    </row>
    <row r="29" spans="3:8" x14ac:dyDescent="0.25">
      <c r="E29" s="41"/>
    </row>
    <row r="30" spans="3:8" x14ac:dyDescent="0.25">
      <c r="E30" s="41"/>
    </row>
    <row r="31" spans="3:8" x14ac:dyDescent="0.25">
      <c r="E31" s="41"/>
    </row>
    <row r="32" spans="3:8" x14ac:dyDescent="0.25">
      <c r="E32" s="41"/>
    </row>
    <row r="33" spans="5:5" x14ac:dyDescent="0.25">
      <c r="E33" s="41"/>
    </row>
    <row r="34" spans="5:5" x14ac:dyDescent="0.25">
      <c r="E34" s="41"/>
    </row>
    <row r="35" spans="5:5" x14ac:dyDescent="0.25">
      <c r="E35" s="41"/>
    </row>
    <row r="36" spans="5:5" x14ac:dyDescent="0.25">
      <c r="E36" s="41"/>
    </row>
    <row r="37" spans="5:5" x14ac:dyDescent="0.25">
      <c r="E37" s="41"/>
    </row>
    <row r="38" spans="5:5" x14ac:dyDescent="0.25">
      <c r="E38" s="41"/>
    </row>
    <row r="39" spans="5:5" x14ac:dyDescent="0.25">
      <c r="E39" s="41"/>
    </row>
    <row r="40" spans="5:5" x14ac:dyDescent="0.25">
      <c r="E40" s="41"/>
    </row>
    <row r="41" spans="5:5" x14ac:dyDescent="0.25">
      <c r="E41" s="41"/>
    </row>
    <row r="42" spans="5:5" x14ac:dyDescent="0.25">
      <c r="E42" s="41"/>
    </row>
  </sheetData>
  <phoneticPr fontId="1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E26EF-F26A-465C-AAE6-D03ED142FC87}">
  <dimension ref="A1:O20"/>
  <sheetViews>
    <sheetView zoomScaleNormal="100" workbookViewId="0">
      <selection activeCell="I23" sqref="I23"/>
    </sheetView>
  </sheetViews>
  <sheetFormatPr defaultRowHeight="15" x14ac:dyDescent="0.25"/>
  <cols>
    <col min="1" max="1" width="12.7109375" bestFit="1" customWidth="1"/>
    <col min="2" max="3" width="15.28515625" bestFit="1" customWidth="1"/>
    <col min="9" max="9" width="11.140625" bestFit="1" customWidth="1"/>
    <col min="10" max="10" width="10.140625" bestFit="1" customWidth="1"/>
    <col min="13" max="14" width="9.140625" customWidth="1"/>
  </cols>
  <sheetData>
    <row r="1" spans="1:15" x14ac:dyDescent="0.25">
      <c r="A1" s="51">
        <v>4809760922</v>
      </c>
      <c r="B1" s="52">
        <v>274359715.07999998</v>
      </c>
      <c r="C1" s="52">
        <v>251619515.61000001</v>
      </c>
      <c r="D1" s="9">
        <v>1.1698730226364846E-2</v>
      </c>
      <c r="E1" s="9">
        <v>7537743.3600000003</v>
      </c>
      <c r="F1" s="9">
        <v>21619.175424000001</v>
      </c>
      <c r="G1" s="9">
        <v>65455.487999999998</v>
      </c>
      <c r="H1" s="9">
        <v>11353.879616000002</v>
      </c>
      <c r="I1" s="41">
        <v>207585280</v>
      </c>
      <c r="J1" s="62">
        <v>7784448</v>
      </c>
      <c r="K1" s="9">
        <v>354.80873800000006</v>
      </c>
      <c r="L1" s="45">
        <v>643</v>
      </c>
      <c r="M1" s="50">
        <v>32</v>
      </c>
      <c r="N1" s="45">
        <v>77.8</v>
      </c>
      <c r="O1" s="50">
        <v>48</v>
      </c>
    </row>
    <row r="2" spans="1:15" x14ac:dyDescent="0.25">
      <c r="A2" s="41">
        <v>5018792537</v>
      </c>
      <c r="B2" s="44">
        <v>286808453.05000001</v>
      </c>
      <c r="C2" s="44">
        <v>263036444.72999999</v>
      </c>
      <c r="D2" s="9">
        <v>1.1942960019865905E-2</v>
      </c>
      <c r="E2" s="9">
        <v>8281781.7599999998</v>
      </c>
      <c r="F2" s="9">
        <v>24056.524800000003</v>
      </c>
      <c r="G2" s="9">
        <v>72672.2304</v>
      </c>
      <c r="H2" s="9">
        <v>12252.601109333333</v>
      </c>
      <c r="I2" s="41">
        <v>239124480</v>
      </c>
      <c r="J2" s="62">
        <v>8967168</v>
      </c>
      <c r="K2" s="9">
        <v>382.89378466666665</v>
      </c>
      <c r="L2" s="45">
        <v>676</v>
      </c>
      <c r="M2" s="41">
        <v>33</v>
      </c>
      <c r="N2" s="9">
        <v>77.400000000000006</v>
      </c>
      <c r="O2" s="46">
        <v>48</v>
      </c>
    </row>
    <row r="3" spans="1:15" x14ac:dyDescent="0.25">
      <c r="A3" s="42">
        <v>5201056007</v>
      </c>
      <c r="B3" s="41">
        <v>304188237.02999997</v>
      </c>
      <c r="C3" s="41">
        <v>278975712</v>
      </c>
      <c r="D3" s="9">
        <v>1.2075164305221634E-2</v>
      </c>
      <c r="E3" s="9">
        <v>8499584</v>
      </c>
      <c r="F3" s="9">
        <v>24851.582976000005</v>
      </c>
      <c r="G3" s="9">
        <v>74988.006399999998</v>
      </c>
      <c r="H3" s="9">
        <v>13077.896261333333</v>
      </c>
      <c r="I3" s="41">
        <v>251328000</v>
      </c>
      <c r="J3" s="62">
        <v>9424800</v>
      </c>
      <c r="K3" s="9">
        <v>408.68425816666667</v>
      </c>
      <c r="L3" s="45">
        <v>709</v>
      </c>
      <c r="M3" s="42">
        <v>32</v>
      </c>
      <c r="N3" s="9">
        <v>77.2</v>
      </c>
      <c r="O3" s="41">
        <v>48</v>
      </c>
    </row>
    <row r="4" spans="1:15" x14ac:dyDescent="0.25">
      <c r="A4" s="42">
        <v>5361754112</v>
      </c>
      <c r="B4" s="9">
        <v>322087347.32999998</v>
      </c>
      <c r="C4" s="9">
        <v>295391261.43000001</v>
      </c>
      <c r="D4" s="9">
        <v>1.1905047475024112E-2</v>
      </c>
      <c r="E4" s="9">
        <v>8193866.2400000002</v>
      </c>
      <c r="F4" s="9">
        <v>23755.505664000004</v>
      </c>
      <c r="G4" s="9">
        <v>71787.059200000003</v>
      </c>
      <c r="H4" s="9">
        <v>11190.440274166669</v>
      </c>
      <c r="I4" s="41">
        <v>234923520</v>
      </c>
      <c r="J4" s="62">
        <v>8809632</v>
      </c>
      <c r="K4" s="9">
        <v>386.02354033333336</v>
      </c>
      <c r="L4" s="45">
        <v>742</v>
      </c>
      <c r="M4" s="41">
        <v>29</v>
      </c>
      <c r="N4" s="9">
        <v>77.400000000000006</v>
      </c>
      <c r="O4" s="41">
        <v>48</v>
      </c>
    </row>
    <row r="5" spans="1:15" x14ac:dyDescent="0.25">
      <c r="A5" s="42">
        <v>5512221017</v>
      </c>
      <c r="B5" s="41">
        <v>341855413.88</v>
      </c>
      <c r="C5" s="41">
        <v>313520859.38999999</v>
      </c>
      <c r="D5" s="9">
        <v>1.1698730226364846E-2</v>
      </c>
      <c r="E5" s="9">
        <v>7537743.3600000003</v>
      </c>
      <c r="F5" s="9">
        <v>21619.175424000001</v>
      </c>
      <c r="G5" s="9">
        <v>65455.487999999998</v>
      </c>
      <c r="H5" s="9">
        <v>8919.9918500000003</v>
      </c>
      <c r="I5" s="41">
        <v>207585280</v>
      </c>
      <c r="J5" s="62">
        <v>7784448</v>
      </c>
      <c r="K5" s="9">
        <v>356.79967400000004</v>
      </c>
      <c r="L5" s="45">
        <v>775</v>
      </c>
      <c r="M5" s="9">
        <v>25</v>
      </c>
      <c r="N5" s="45">
        <v>77.8</v>
      </c>
      <c r="O5" s="42">
        <v>48</v>
      </c>
    </row>
    <row r="6" spans="1:15" x14ac:dyDescent="0.25">
      <c r="A6" s="42">
        <v>5133792702</v>
      </c>
      <c r="B6" s="41">
        <v>363793354.82999998</v>
      </c>
      <c r="C6" s="41">
        <v>333640482.54000002</v>
      </c>
      <c r="D6" s="9">
        <v>1.1845481121605959E-2</v>
      </c>
      <c r="E6" s="9">
        <v>7866260.4800000004</v>
      </c>
      <c r="F6" s="9">
        <v>22736.203775999998</v>
      </c>
      <c r="G6" s="9">
        <v>68743.705600000001</v>
      </c>
      <c r="H6" s="9">
        <v>9990.2866095000008</v>
      </c>
      <c r="I6" s="41">
        <v>222999040</v>
      </c>
      <c r="J6" s="62">
        <v>8362464</v>
      </c>
      <c r="K6" s="9">
        <v>372.03453883333333</v>
      </c>
      <c r="L6" s="45">
        <v>808</v>
      </c>
      <c r="M6" s="9">
        <v>27</v>
      </c>
      <c r="N6" s="9">
        <v>77.599999999999994</v>
      </c>
      <c r="O6" s="41">
        <v>48</v>
      </c>
    </row>
    <row r="7" spans="1:15" x14ac:dyDescent="0.25">
      <c r="A7" s="42">
        <v>5827784401</v>
      </c>
      <c r="B7" s="45">
        <v>368234137.60000002</v>
      </c>
      <c r="C7" s="41">
        <v>337713192.73000002</v>
      </c>
      <c r="D7" s="9">
        <v>1.2150085120132943E-2</v>
      </c>
      <c r="E7" s="9">
        <v>8658252.8000000007</v>
      </c>
      <c r="F7" s="9">
        <v>25407.393792000003</v>
      </c>
      <c r="G7" s="9">
        <v>76616.780800000008</v>
      </c>
      <c r="H7" s="9">
        <v>10812.052489333335</v>
      </c>
      <c r="I7" s="41">
        <v>259366400</v>
      </c>
      <c r="J7" s="62">
        <v>9726240</v>
      </c>
      <c r="K7" s="9">
        <v>415.8481726666667</v>
      </c>
      <c r="L7" s="45">
        <v>842</v>
      </c>
      <c r="M7" s="9">
        <v>26</v>
      </c>
      <c r="N7" s="9">
        <v>77.099999999999994</v>
      </c>
      <c r="O7" s="9">
        <v>48</v>
      </c>
    </row>
    <row r="8" spans="1:15" x14ac:dyDescent="0.25">
      <c r="A8" s="42">
        <v>5168519533</v>
      </c>
      <c r="B8" s="41">
        <v>323513095</v>
      </c>
      <c r="C8" s="41">
        <v>296698836.55000001</v>
      </c>
      <c r="D8" s="9">
        <v>1.1857736256783394E-2</v>
      </c>
      <c r="E8" s="9">
        <v>7981450.2400000002</v>
      </c>
      <c r="F8" s="9">
        <v>23083.720703999999</v>
      </c>
      <c r="G8" s="9">
        <v>69786.675199999998</v>
      </c>
      <c r="H8" s="9">
        <v>10644.675631333332</v>
      </c>
      <c r="I8" s="41">
        <v>226795520</v>
      </c>
      <c r="J8" s="62">
        <v>8504832</v>
      </c>
      <c r="K8" s="9">
        <v>380.16698683333328</v>
      </c>
      <c r="L8" s="45">
        <v>709</v>
      </c>
      <c r="M8" s="9">
        <v>28</v>
      </c>
      <c r="N8" s="9">
        <v>77.5</v>
      </c>
      <c r="O8" s="9">
        <v>48</v>
      </c>
    </row>
    <row r="9" spans="1:15" x14ac:dyDescent="0.25">
      <c r="A9" s="42">
        <v>5420460050</v>
      </c>
      <c r="B9" s="41">
        <v>334536383.19999999</v>
      </c>
      <c r="C9" s="41">
        <v>306808463.75</v>
      </c>
      <c r="D9" s="9">
        <v>1.2152380767900381E-2</v>
      </c>
      <c r="E9" s="9">
        <v>8667755.5199999996</v>
      </c>
      <c r="F9" s="9">
        <v>25438.076928000002</v>
      </c>
      <c r="G9" s="9">
        <v>76707.839999999997</v>
      </c>
      <c r="H9" s="9">
        <v>11764.403261333333</v>
      </c>
      <c r="I9" s="41">
        <v>259752960</v>
      </c>
      <c r="J9" s="62">
        <v>9740736</v>
      </c>
      <c r="K9" s="9">
        <v>420.15725933333334</v>
      </c>
      <c r="L9" s="45">
        <v>749</v>
      </c>
      <c r="M9" s="9">
        <v>28</v>
      </c>
      <c r="N9" s="9">
        <v>77.099999999999994</v>
      </c>
      <c r="O9" s="9">
        <v>48</v>
      </c>
    </row>
    <row r="10" spans="1:15" x14ac:dyDescent="0.25">
      <c r="A10" s="42">
        <v>5664812407</v>
      </c>
      <c r="B10" s="41">
        <v>368990402.75999999</v>
      </c>
      <c r="C10" s="41">
        <v>338406775.14999998</v>
      </c>
      <c r="D10" s="9">
        <v>1.2301843358938707E-2</v>
      </c>
      <c r="E10" s="9">
        <v>8894632.9600000009</v>
      </c>
      <c r="F10" s="9">
        <v>26288.148480000003</v>
      </c>
      <c r="G10" s="9">
        <v>79174.630400000009</v>
      </c>
      <c r="H10" s="9">
        <v>11290.734288000001</v>
      </c>
      <c r="I10" s="41">
        <v>273262080</v>
      </c>
      <c r="J10" s="62">
        <v>10247328</v>
      </c>
      <c r="K10" s="9">
        <v>420.55852565986396</v>
      </c>
      <c r="L10" s="45">
        <v>802</v>
      </c>
      <c r="M10" s="9">
        <v>27</v>
      </c>
      <c r="N10" s="9">
        <v>76.900000000000006</v>
      </c>
      <c r="O10" s="9">
        <v>49</v>
      </c>
    </row>
    <row r="11" spans="1:15" x14ac:dyDescent="0.25">
      <c r="A11" s="42">
        <v>6078485765</v>
      </c>
      <c r="B11" s="41">
        <v>395989930.12</v>
      </c>
      <c r="C11" s="41">
        <v>363168457.06999999</v>
      </c>
      <c r="D11" s="9">
        <v>1.1856715732249336E-2</v>
      </c>
      <c r="E11" s="9">
        <v>7930831.3600000003</v>
      </c>
      <c r="F11" s="9">
        <v>22936.117247999999</v>
      </c>
      <c r="G11" s="9">
        <v>69341.081600000005</v>
      </c>
      <c r="H11" s="9">
        <v>8071.1252859999995</v>
      </c>
      <c r="I11" s="41">
        <v>225313280</v>
      </c>
      <c r="J11" s="62">
        <v>8449248</v>
      </c>
      <c r="K11" s="9">
        <v>384.33929933333332</v>
      </c>
      <c r="L11" s="45">
        <v>1008</v>
      </c>
      <c r="M11" s="9">
        <v>21</v>
      </c>
      <c r="N11" s="9">
        <v>77.5</v>
      </c>
      <c r="O11" s="9">
        <v>48</v>
      </c>
    </row>
    <row r="12" spans="1:15" x14ac:dyDescent="0.25">
      <c r="A12" s="42">
        <v>4862429821</v>
      </c>
      <c r="B12" s="41">
        <v>308042308.76999998</v>
      </c>
      <c r="C12" s="41">
        <v>282510340.48000002</v>
      </c>
      <c r="D12" s="9">
        <v>1.164850263359821E-2</v>
      </c>
      <c r="E12" s="9">
        <v>7312975.3600000003</v>
      </c>
      <c r="F12" s="9">
        <v>20917.788671999999</v>
      </c>
      <c r="G12" s="9">
        <v>63362.355199999998</v>
      </c>
      <c r="H12" s="9">
        <v>9111.885839999999</v>
      </c>
      <c r="I12" s="41">
        <v>199329280</v>
      </c>
      <c r="J12" s="62">
        <v>7474848</v>
      </c>
      <c r="K12" s="9">
        <v>342.62490933333333</v>
      </c>
      <c r="L12" s="45">
        <v>708</v>
      </c>
      <c r="M12" s="9">
        <v>26</v>
      </c>
      <c r="N12" s="9">
        <v>77.900000000000006</v>
      </c>
      <c r="O12" s="9">
        <v>48</v>
      </c>
    </row>
    <row r="13" spans="1:15" x14ac:dyDescent="0.25">
      <c r="A13" s="42">
        <v>6227350167</v>
      </c>
      <c r="B13" s="41">
        <v>406499579.50999999</v>
      </c>
      <c r="C13" s="41">
        <v>372807018.20999998</v>
      </c>
      <c r="D13" s="9">
        <v>1.1982436193256734E-2</v>
      </c>
      <c r="E13" s="9">
        <v>8350853.1200000001</v>
      </c>
      <c r="F13" s="9">
        <v>24305.233920000002</v>
      </c>
      <c r="G13" s="9">
        <v>73398.092800000013</v>
      </c>
      <c r="H13" s="9">
        <v>8411.5527300000012</v>
      </c>
      <c r="I13" s="41">
        <v>242869760</v>
      </c>
      <c r="J13" s="62">
        <v>9107616</v>
      </c>
      <c r="K13" s="9">
        <v>400.55013000000002</v>
      </c>
      <c r="L13" s="45">
        <v>1050</v>
      </c>
      <c r="M13" s="9">
        <v>21</v>
      </c>
      <c r="N13" s="9">
        <v>77.3</v>
      </c>
      <c r="O13" s="9">
        <v>48</v>
      </c>
    </row>
    <row r="14" spans="1:15" x14ac:dyDescent="0.25">
      <c r="A14" s="42">
        <v>6114125967</v>
      </c>
      <c r="B14" s="41">
        <v>437475051.66000003</v>
      </c>
      <c r="C14" s="41">
        <v>401215100.25999999</v>
      </c>
      <c r="D14" s="9">
        <v>1.2707867486923052E-2</v>
      </c>
      <c r="E14" s="9">
        <v>9599270.4000000004</v>
      </c>
      <c r="F14" s="9">
        <v>28883.509248000002</v>
      </c>
      <c r="G14" s="9">
        <v>86724.403200000001</v>
      </c>
      <c r="H14" s="9">
        <v>11316.412299102039</v>
      </c>
      <c r="I14" s="41">
        <v>313587200</v>
      </c>
      <c r="J14" s="62">
        <v>11759520</v>
      </c>
      <c r="K14" s="9">
        <v>471.51717912925164</v>
      </c>
      <c r="L14" s="45">
        <v>1093</v>
      </c>
      <c r="M14" s="9">
        <v>24</v>
      </c>
      <c r="N14" s="9">
        <v>76.2</v>
      </c>
      <c r="O14" s="9">
        <v>49</v>
      </c>
    </row>
    <row r="15" spans="1:15" x14ac:dyDescent="0.25">
      <c r="A15" s="42">
        <v>4631449151</v>
      </c>
      <c r="B15" s="41">
        <v>354790420.43000001</v>
      </c>
      <c r="C15" s="41">
        <v>325383752.88999999</v>
      </c>
      <c r="D15" s="9">
        <v>1.2439276317114941E-2</v>
      </c>
      <c r="E15" s="9">
        <v>9174658.5600000005</v>
      </c>
      <c r="F15" s="9">
        <v>27285.823488000005</v>
      </c>
      <c r="G15" s="9">
        <v>82090.905599999998</v>
      </c>
      <c r="H15" s="9">
        <v>13656.531817496598</v>
      </c>
      <c r="I15" s="41">
        <v>288058880</v>
      </c>
      <c r="J15" s="62">
        <v>10802208</v>
      </c>
      <c r="K15" s="9">
        <v>440.53328443537413</v>
      </c>
      <c r="L15" s="45">
        <v>841</v>
      </c>
      <c r="M15" s="9">
        <v>31</v>
      </c>
      <c r="N15" s="9">
        <v>76.7</v>
      </c>
      <c r="O15" s="9">
        <v>49</v>
      </c>
    </row>
    <row r="16" spans="1:15" x14ac:dyDescent="0.25">
      <c r="A16" s="42">
        <v>6257761820</v>
      </c>
      <c r="B16" s="41">
        <v>434956764.17000002</v>
      </c>
      <c r="C16" s="41">
        <v>398905540</v>
      </c>
      <c r="D16" s="9">
        <v>1.2075164305221634E-2</v>
      </c>
      <c r="E16" s="9">
        <v>8499584</v>
      </c>
      <c r="F16" s="9">
        <v>24851.582976000005</v>
      </c>
      <c r="G16" s="9">
        <v>74988.006399999998</v>
      </c>
      <c r="H16" s="9">
        <v>8328.914209999999</v>
      </c>
      <c r="I16" s="41">
        <v>251328000</v>
      </c>
      <c r="J16" s="62">
        <v>9424800</v>
      </c>
      <c r="K16" s="9">
        <v>416.44571049999996</v>
      </c>
      <c r="L16" s="45">
        <v>1180</v>
      </c>
      <c r="M16" s="9">
        <v>20</v>
      </c>
      <c r="N16" s="9">
        <v>77.2</v>
      </c>
      <c r="O16" s="9">
        <v>48</v>
      </c>
    </row>
    <row r="17" spans="1:15" x14ac:dyDescent="0.25">
      <c r="A17" s="42">
        <v>4878255504</v>
      </c>
      <c r="B17" s="41">
        <v>337139104.01999998</v>
      </c>
      <c r="C17" s="41">
        <v>309195459.05000001</v>
      </c>
      <c r="D17" s="9">
        <v>1.2063888397557379E-2</v>
      </c>
      <c r="E17" s="9">
        <v>8470502.4000000004</v>
      </c>
      <c r="F17" s="9">
        <v>24752.910336000004</v>
      </c>
      <c r="G17" s="9">
        <v>74697.446400000001</v>
      </c>
      <c r="H17" s="9">
        <v>11456.434668666667</v>
      </c>
      <c r="I17" s="41">
        <v>249971200</v>
      </c>
      <c r="J17" s="62">
        <v>9373920</v>
      </c>
      <c r="K17" s="9">
        <v>407.72428250000002</v>
      </c>
      <c r="L17" s="45">
        <v>808</v>
      </c>
      <c r="M17" s="9">
        <v>28</v>
      </c>
      <c r="N17" s="9">
        <v>77.2</v>
      </c>
      <c r="O17" s="9">
        <v>48</v>
      </c>
    </row>
    <row r="18" spans="1:15" x14ac:dyDescent="0.25">
      <c r="A18" s="42">
        <v>4430906697</v>
      </c>
      <c r="B18" s="41">
        <v>352621504.87</v>
      </c>
      <c r="C18" s="41">
        <v>323394607</v>
      </c>
      <c r="D18" s="9">
        <v>1.2987010287775257E-2</v>
      </c>
      <c r="E18" s="9">
        <v>9936166.4000000004</v>
      </c>
      <c r="F18" s="9">
        <v>30239.920128000005</v>
      </c>
      <c r="G18" s="9">
        <v>90621.875199999995</v>
      </c>
      <c r="H18" s="9">
        <v>13707.591983589744</v>
      </c>
      <c r="I18" s="41">
        <v>337075200</v>
      </c>
      <c r="J18" s="62">
        <v>12640320</v>
      </c>
      <c r="K18" s="9">
        <v>428.3622494871795</v>
      </c>
      <c r="L18" s="45">
        <v>842</v>
      </c>
      <c r="M18" s="9">
        <v>34</v>
      </c>
      <c r="N18" s="9">
        <v>75.599999999999994</v>
      </c>
      <c r="O18" s="9">
        <v>52</v>
      </c>
    </row>
    <row r="19" spans="1:15" x14ac:dyDescent="0.25">
      <c r="A19" s="42">
        <v>5141492728</v>
      </c>
      <c r="B19" s="41">
        <v>368997713</v>
      </c>
      <c r="C19" s="41">
        <v>338413479</v>
      </c>
      <c r="D19" s="9">
        <v>1.2124755038687856E-2</v>
      </c>
      <c r="E19" s="9">
        <v>8605112.3200000003</v>
      </c>
      <c r="F19" s="9">
        <v>25220.726784000002</v>
      </c>
      <c r="G19" s="9">
        <v>76069.990399999995</v>
      </c>
      <c r="H19" s="9">
        <v>10888.948967</v>
      </c>
      <c r="I19" s="41">
        <v>256655360</v>
      </c>
      <c r="J19" s="62">
        <v>9624576</v>
      </c>
      <c r="K19" s="9">
        <v>418.80572949999998</v>
      </c>
      <c r="L19" s="45">
        <v>875</v>
      </c>
      <c r="M19" s="9">
        <v>26</v>
      </c>
      <c r="N19" s="9">
        <v>77.099999999999994</v>
      </c>
      <c r="O19" s="9">
        <v>48</v>
      </c>
    </row>
    <row r="20" spans="1:15" x14ac:dyDescent="0.25">
      <c r="A20" s="42">
        <v>4480046314</v>
      </c>
      <c r="B20" s="41">
        <v>319527613</v>
      </c>
      <c r="C20" s="41">
        <v>319527613</v>
      </c>
      <c r="D20" s="9">
        <v>1.2245147631419319E-2</v>
      </c>
      <c r="E20" s="9">
        <v>8809730.5600000005</v>
      </c>
      <c r="F20" s="9">
        <v>25968.611328000003</v>
      </c>
      <c r="G20" s="9">
        <v>78247.96160000001</v>
      </c>
      <c r="H20" s="9">
        <v>13223.273706333333</v>
      </c>
      <c r="I20" s="41">
        <v>268154880</v>
      </c>
      <c r="J20" s="62">
        <v>10055808</v>
      </c>
      <c r="K20" s="9">
        <v>426.55721633333332</v>
      </c>
      <c r="L20" s="45">
        <v>775</v>
      </c>
      <c r="M20" s="9">
        <v>31</v>
      </c>
      <c r="N20" s="9">
        <v>77</v>
      </c>
      <c r="O20" s="9">
        <v>48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38fcce7-54a5-408a-9661-fe28f8bfca8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C71205FDE190A42B51D4C14B6548430" ma:contentTypeVersion="11" ma:contentTypeDescription="Create a new document." ma:contentTypeScope="" ma:versionID="c435ef788530863edaa017d7e1d1dd3a">
  <xsd:schema xmlns:xsd="http://www.w3.org/2001/XMLSchema" xmlns:xs="http://www.w3.org/2001/XMLSchema" xmlns:p="http://schemas.microsoft.com/office/2006/metadata/properties" xmlns:ns2="438fcce7-54a5-408a-9661-fe28f8bfca84" targetNamespace="http://schemas.microsoft.com/office/2006/metadata/properties" ma:root="true" ma:fieldsID="31310aca7f70c5b800438f38fc11aab4" ns2:_="">
    <xsd:import namespace="438fcce7-54a5-408a-9661-fe28f8bfca8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8fcce7-54a5-408a-9661-fe28f8bfca8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20e570-3a27-4eff-9ea0-d3488a33fbf1"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AB2C711-AFB9-4B2A-A8FE-4F2FE138824B}">
  <ds:schemaRefs>
    <ds:schemaRef ds:uri="438fcce7-54a5-408a-9661-fe28f8bfca84"/>
    <ds:schemaRef ds:uri="http://schemas.microsoft.com/office/2006/documentManagement/types"/>
    <ds:schemaRef ds:uri="http://schemas.microsoft.com/office/infopath/2007/PartnerControls"/>
    <ds:schemaRef ds:uri="http://www.w3.org/XML/1998/namespace"/>
    <ds:schemaRef ds:uri="http://purl.org/dc/dcmitype/"/>
    <ds:schemaRef ds:uri="http://purl.org/dc/elements/1.1/"/>
    <ds:schemaRef ds:uri="http://schemas.microsoft.com/office/2006/metadata/propertie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873FD590-1F0A-4AC6-B7B5-71DD7E3699DD}">
  <ds:schemaRefs>
    <ds:schemaRef ds:uri="http://schemas.microsoft.com/sharepoint/v3/contenttype/forms"/>
  </ds:schemaRefs>
</ds:datastoreItem>
</file>

<file path=customXml/itemProps3.xml><?xml version="1.0" encoding="utf-8"?>
<ds:datastoreItem xmlns:ds="http://schemas.openxmlformats.org/officeDocument/2006/customXml" ds:itemID="{2A7057AC-A127-486F-A4A7-89F5E72ACD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8fcce7-54a5-408a-9661-fe28f8bfca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vt:lpstr>
      <vt:lpstr>Production Schedules</vt:lpstr>
      <vt:lpstr>Evaluation &amp; Selection Criteria</vt:lpstr>
      <vt:lpstr>Final List of SDIs</vt:lpstr>
      <vt:lpstr>MATLAB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Altalhi, Hussam Naif S (S&amp;T-Student)</dc:creator>
  <cp:keywords/>
  <dc:description/>
  <cp:lastModifiedBy>Altalhi, Hussam Naif S (S&amp;T-Student)</cp:lastModifiedBy>
  <cp:revision/>
  <dcterms:created xsi:type="dcterms:W3CDTF">2015-06-05T18:17:20Z</dcterms:created>
  <dcterms:modified xsi:type="dcterms:W3CDTF">2026-04-19T05:47:31Z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0x0101007C71205FDE190A42B51D4C14B6548430</vt:lpwstr>
  </property>
  <property fmtid="{D5CDD505-2E9C-101B-9397-08002B2CF9AE}" pid="3" name="MediaServiceImageTags">
    <vt:lpwstr/>
  </property>
</Properties>
</file>