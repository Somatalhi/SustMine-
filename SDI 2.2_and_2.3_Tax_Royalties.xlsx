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missouri.sharepoint.com/sites/Research91-Ogrp-Othersustainability/Shared Documents/Other sustainability/Hussam Naif S Altalhi/Experiments &amp; Results/SDIs calculations/"/>
    </mc:Choice>
  </mc:AlternateContent>
  <xr:revisionPtr revIDLastSave="376" documentId="8_{DE6B1E67-85F8-4C92-88B7-ECFBE91ADD72}" xr6:coauthVersionLast="47" xr6:coauthVersionMax="47" xr10:uidLastSave="{25B6EFDE-BEB8-4750-815A-712D9FFFBA3A}"/>
  <bookViews>
    <workbookView xWindow="-120" yWindow="-120" windowWidth="29040" windowHeight="15720" firstSheet="19" activeTab="19" xr2:uid="{00000000-000D-0000-FFFF-FFFF00000000}"/>
  </bookViews>
  <sheets>
    <sheet name="schedule_1 " sheetId="4" r:id="rId1"/>
    <sheet name="schedule_2" sheetId="6" r:id="rId2"/>
    <sheet name="schedule_3" sheetId="5" r:id="rId3"/>
    <sheet name="schedule_4" sheetId="7" r:id="rId4"/>
    <sheet name="schedule_5" sheetId="8" r:id="rId5"/>
    <sheet name="schedule_6" sheetId="9" r:id="rId6"/>
    <sheet name="schedule_7" sheetId="10" r:id="rId7"/>
    <sheet name="schedule_8" sheetId="11" r:id="rId8"/>
    <sheet name="schedule_9" sheetId="12" r:id="rId9"/>
    <sheet name="schedule_10" sheetId="13" r:id="rId10"/>
    <sheet name="schedule_11" sheetId="14" r:id="rId11"/>
    <sheet name="schedule_12" sheetId="15" r:id="rId12"/>
    <sheet name="schedule_13" sheetId="16" r:id="rId13"/>
    <sheet name="schedule_14" sheetId="17" r:id="rId14"/>
    <sheet name="schedule_15" sheetId="18" r:id="rId15"/>
    <sheet name="schedule_16" sheetId="19" r:id="rId16"/>
    <sheet name="schedule_17" sheetId="20" r:id="rId17"/>
    <sheet name="schedule_18" sheetId="21" r:id="rId18"/>
    <sheet name="schedule_19" sheetId="22" r:id="rId19"/>
    <sheet name="schedule_20" sheetId="23" r:id="rId20"/>
    <sheet name="Parameters" sheetId="2" r:id="rId21"/>
    <sheet name="ReadMe" sheetId="3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23" l="1"/>
  <c r="J39" i="23"/>
  <c r="O39" i="22"/>
  <c r="J39" i="22"/>
  <c r="O39" i="21"/>
  <c r="J39" i="21"/>
  <c r="O39" i="20"/>
  <c r="J39" i="20"/>
  <c r="O39" i="19"/>
  <c r="J39" i="19"/>
  <c r="O39" i="18"/>
  <c r="J39" i="18"/>
  <c r="O39" i="17"/>
  <c r="J39" i="17"/>
  <c r="O39" i="16"/>
  <c r="J39" i="16"/>
  <c r="O39" i="15"/>
  <c r="J39" i="15"/>
  <c r="O39" i="14"/>
  <c r="J39" i="14"/>
  <c r="O39" i="13"/>
  <c r="J39" i="13"/>
  <c r="O39" i="12"/>
  <c r="J39" i="12"/>
  <c r="O39" i="11"/>
  <c r="J39" i="11"/>
  <c r="O39" i="10"/>
  <c r="J39" i="10"/>
  <c r="O39" i="9"/>
  <c r="J39" i="9"/>
  <c r="O39" i="8"/>
  <c r="J39" i="8"/>
  <c r="O39" i="7"/>
  <c r="J39" i="7"/>
  <c r="O39" i="5"/>
  <c r="J39" i="5"/>
  <c r="O39" i="6"/>
  <c r="J39" i="6"/>
  <c r="O39" i="4"/>
  <c r="J39" i="4"/>
  <c r="L28" i="23"/>
  <c r="M28" i="23" s="1"/>
  <c r="N28" i="23" s="1"/>
  <c r="O28" i="23" s="1"/>
  <c r="L29" i="23"/>
  <c r="M29" i="23"/>
  <c r="N29" i="23"/>
  <c r="O29" i="23"/>
  <c r="L30" i="23"/>
  <c r="M30" i="23" s="1"/>
  <c r="N30" i="23" s="1"/>
  <c r="O30" i="23" s="1"/>
  <c r="L31" i="23"/>
  <c r="M31" i="23"/>
  <c r="N31" i="23"/>
  <c r="O31" i="23"/>
  <c r="L32" i="23"/>
  <c r="M32" i="23" s="1"/>
  <c r="N32" i="23" s="1"/>
  <c r="O32" i="23" s="1"/>
  <c r="L27" i="23"/>
  <c r="M27" i="23" s="1"/>
  <c r="N27" i="23" s="1"/>
  <c r="O27" i="23" s="1"/>
  <c r="L26" i="23"/>
  <c r="M26" i="23" s="1"/>
  <c r="N26" i="23" s="1"/>
  <c r="O26" i="23" s="1"/>
  <c r="L25" i="23"/>
  <c r="M25" i="23" s="1"/>
  <c r="N25" i="23" s="1"/>
  <c r="O25" i="23" s="1"/>
  <c r="L24" i="23"/>
  <c r="M24" i="23" s="1"/>
  <c r="N24" i="23" s="1"/>
  <c r="O24" i="23" s="1"/>
  <c r="L23" i="23"/>
  <c r="M23" i="23" s="1"/>
  <c r="N23" i="23" s="1"/>
  <c r="O23" i="23" s="1"/>
  <c r="L22" i="23"/>
  <c r="M22" i="23" s="1"/>
  <c r="N22" i="23" s="1"/>
  <c r="O22" i="23" s="1"/>
  <c r="M21" i="23"/>
  <c r="N21" i="23" s="1"/>
  <c r="O21" i="23" s="1"/>
  <c r="L21" i="23"/>
  <c r="L20" i="23"/>
  <c r="M20" i="23" s="1"/>
  <c r="N20" i="23" s="1"/>
  <c r="O20" i="23" s="1"/>
  <c r="L19" i="23"/>
  <c r="M19" i="23" s="1"/>
  <c r="N19" i="23" s="1"/>
  <c r="O19" i="23" s="1"/>
  <c r="L18" i="23"/>
  <c r="M18" i="23" s="1"/>
  <c r="N18" i="23" s="1"/>
  <c r="O18" i="23" s="1"/>
  <c r="L17" i="23"/>
  <c r="M17" i="23" s="1"/>
  <c r="N17" i="23" s="1"/>
  <c r="O17" i="23" s="1"/>
  <c r="L16" i="23"/>
  <c r="M16" i="23" s="1"/>
  <c r="N16" i="23" s="1"/>
  <c r="O16" i="23" s="1"/>
  <c r="L15" i="23"/>
  <c r="M15" i="23" s="1"/>
  <c r="N15" i="23" s="1"/>
  <c r="O15" i="23" s="1"/>
  <c r="M14" i="23"/>
  <c r="N14" i="23" s="1"/>
  <c r="O14" i="23" s="1"/>
  <c r="L14" i="23"/>
  <c r="L13" i="23"/>
  <c r="M13" i="23" s="1"/>
  <c r="N13" i="23" s="1"/>
  <c r="O13" i="23" s="1"/>
  <c r="L12" i="23"/>
  <c r="M12" i="23" s="1"/>
  <c r="N12" i="23" s="1"/>
  <c r="O12" i="23" s="1"/>
  <c r="L11" i="23"/>
  <c r="M11" i="23" s="1"/>
  <c r="N11" i="23" s="1"/>
  <c r="O11" i="23" s="1"/>
  <c r="L10" i="23"/>
  <c r="M10" i="23" s="1"/>
  <c r="N10" i="23" s="1"/>
  <c r="O10" i="23" s="1"/>
  <c r="L9" i="23"/>
  <c r="M9" i="23" s="1"/>
  <c r="N9" i="23" s="1"/>
  <c r="O9" i="23" s="1"/>
  <c r="L8" i="23"/>
  <c r="M8" i="23" s="1"/>
  <c r="N8" i="23" s="1"/>
  <c r="O8" i="23" s="1"/>
  <c r="M7" i="23"/>
  <c r="N7" i="23" s="1"/>
  <c r="O7" i="23" s="1"/>
  <c r="L7" i="23"/>
  <c r="L6" i="23"/>
  <c r="M6" i="23" s="1"/>
  <c r="N6" i="23" s="1"/>
  <c r="O6" i="23" s="1"/>
  <c r="L5" i="23"/>
  <c r="M5" i="23" s="1"/>
  <c r="N5" i="23" s="1"/>
  <c r="O5" i="23" s="1"/>
  <c r="L4" i="23"/>
  <c r="M4" i="23" s="1"/>
  <c r="N4" i="23" s="1"/>
  <c r="O4" i="23" s="1"/>
  <c r="L3" i="23"/>
  <c r="M3" i="23" s="1"/>
  <c r="N3" i="23" s="1"/>
  <c r="O3" i="23" s="1"/>
  <c r="L2" i="23"/>
  <c r="M2" i="23" s="1"/>
  <c r="N2" i="23" s="1"/>
  <c r="O2" i="23" s="1"/>
  <c r="H39" i="23"/>
  <c r="G39" i="23"/>
  <c r="L27" i="22"/>
  <c r="M27" i="22" s="1"/>
  <c r="N27" i="22" s="1"/>
  <c r="O27" i="22" s="1"/>
  <c r="L26" i="22"/>
  <c r="M26" i="22" s="1"/>
  <c r="N26" i="22" s="1"/>
  <c r="O26" i="22" s="1"/>
  <c r="L25" i="22"/>
  <c r="M25" i="22" s="1"/>
  <c r="N25" i="22" s="1"/>
  <c r="O25" i="22" s="1"/>
  <c r="L24" i="22"/>
  <c r="M24" i="22" s="1"/>
  <c r="N24" i="22" s="1"/>
  <c r="O24" i="22" s="1"/>
  <c r="L23" i="22"/>
  <c r="M23" i="22" s="1"/>
  <c r="N23" i="22" s="1"/>
  <c r="O23" i="22" s="1"/>
  <c r="M22" i="22"/>
  <c r="N22" i="22" s="1"/>
  <c r="O22" i="22" s="1"/>
  <c r="L22" i="22"/>
  <c r="L21" i="22"/>
  <c r="M21" i="22" s="1"/>
  <c r="N21" i="22" s="1"/>
  <c r="O21" i="22" s="1"/>
  <c r="L20" i="22"/>
  <c r="M20" i="22" s="1"/>
  <c r="N20" i="22" s="1"/>
  <c r="O20" i="22" s="1"/>
  <c r="L19" i="22"/>
  <c r="M19" i="22" s="1"/>
  <c r="N19" i="22" s="1"/>
  <c r="O19" i="22" s="1"/>
  <c r="L18" i="22"/>
  <c r="M18" i="22" s="1"/>
  <c r="N18" i="22" s="1"/>
  <c r="O18" i="22" s="1"/>
  <c r="L17" i="22"/>
  <c r="M17" i="22" s="1"/>
  <c r="N17" i="22" s="1"/>
  <c r="O17" i="22" s="1"/>
  <c r="L16" i="22"/>
  <c r="M16" i="22" s="1"/>
  <c r="N16" i="22" s="1"/>
  <c r="O16" i="22" s="1"/>
  <c r="M15" i="22"/>
  <c r="N15" i="22" s="1"/>
  <c r="O15" i="22" s="1"/>
  <c r="L15" i="22"/>
  <c r="L14" i="22"/>
  <c r="M14" i="22" s="1"/>
  <c r="N14" i="22" s="1"/>
  <c r="O14" i="22" s="1"/>
  <c r="L13" i="22"/>
  <c r="M13" i="22" s="1"/>
  <c r="N13" i="22" s="1"/>
  <c r="O13" i="22" s="1"/>
  <c r="L12" i="22"/>
  <c r="M12" i="22" s="1"/>
  <c r="N12" i="22" s="1"/>
  <c r="O12" i="22" s="1"/>
  <c r="L11" i="22"/>
  <c r="M11" i="22" s="1"/>
  <c r="N11" i="22" s="1"/>
  <c r="O11" i="22" s="1"/>
  <c r="L10" i="22"/>
  <c r="M10" i="22" s="1"/>
  <c r="N10" i="22" s="1"/>
  <c r="O10" i="22" s="1"/>
  <c r="L9" i="22"/>
  <c r="M9" i="22" s="1"/>
  <c r="N9" i="22" s="1"/>
  <c r="O9" i="22" s="1"/>
  <c r="M8" i="22"/>
  <c r="N8" i="22" s="1"/>
  <c r="O8" i="22" s="1"/>
  <c r="L8" i="22"/>
  <c r="L7" i="22"/>
  <c r="M7" i="22" s="1"/>
  <c r="N7" i="22" s="1"/>
  <c r="O7" i="22" s="1"/>
  <c r="L6" i="22"/>
  <c r="M6" i="22" s="1"/>
  <c r="N6" i="22" s="1"/>
  <c r="O6" i="22" s="1"/>
  <c r="L5" i="22"/>
  <c r="M5" i="22" s="1"/>
  <c r="N5" i="22" s="1"/>
  <c r="O5" i="22" s="1"/>
  <c r="L4" i="22"/>
  <c r="M4" i="22" s="1"/>
  <c r="N4" i="22" s="1"/>
  <c r="O4" i="22" s="1"/>
  <c r="L3" i="22"/>
  <c r="M3" i="22" s="1"/>
  <c r="N3" i="22" s="1"/>
  <c r="O3" i="22" s="1"/>
  <c r="L2" i="22"/>
  <c r="M2" i="22" s="1"/>
  <c r="N2" i="22" s="1"/>
  <c r="O2" i="22" s="1"/>
  <c r="G39" i="22"/>
  <c r="L30" i="21"/>
  <c r="M30" i="21" s="1"/>
  <c r="N30" i="21" s="1"/>
  <c r="O30" i="21" s="1"/>
  <c r="L31" i="21"/>
  <c r="M31" i="21"/>
  <c r="N31" i="21" s="1"/>
  <c r="O31" i="21" s="1"/>
  <c r="L32" i="21"/>
  <c r="M32" i="21"/>
  <c r="N32" i="21" s="1"/>
  <c r="O32" i="21" s="1"/>
  <c r="L33" i="21"/>
  <c r="M33" i="21" s="1"/>
  <c r="N33" i="21" s="1"/>
  <c r="O33" i="21" s="1"/>
  <c r="L34" i="21"/>
  <c r="M34" i="21" s="1"/>
  <c r="N34" i="21" s="1"/>
  <c r="O34" i="21" s="1"/>
  <c r="L35" i="21"/>
  <c r="M35" i="21"/>
  <c r="N35" i="21"/>
  <c r="O35" i="21"/>
  <c r="L29" i="21"/>
  <c r="M29" i="21" s="1"/>
  <c r="N29" i="21" s="1"/>
  <c r="O29" i="21" s="1"/>
  <c r="L28" i="21"/>
  <c r="M28" i="21" s="1"/>
  <c r="N28" i="21" s="1"/>
  <c r="O28" i="21" s="1"/>
  <c r="L27" i="21"/>
  <c r="M27" i="21" s="1"/>
  <c r="N27" i="21" s="1"/>
  <c r="O27" i="21" s="1"/>
  <c r="L26" i="21"/>
  <c r="M26" i="21" s="1"/>
  <c r="N26" i="21" s="1"/>
  <c r="O26" i="21" s="1"/>
  <c r="L25" i="21"/>
  <c r="M25" i="21" s="1"/>
  <c r="N25" i="21" s="1"/>
  <c r="O25" i="21" s="1"/>
  <c r="L24" i="21"/>
  <c r="M24" i="21" s="1"/>
  <c r="N24" i="21" s="1"/>
  <c r="O24" i="21" s="1"/>
  <c r="M23" i="21"/>
  <c r="N23" i="21" s="1"/>
  <c r="O23" i="21" s="1"/>
  <c r="L23" i="21"/>
  <c r="L22" i="21"/>
  <c r="M22" i="21" s="1"/>
  <c r="N22" i="21" s="1"/>
  <c r="O22" i="21" s="1"/>
  <c r="L21" i="21"/>
  <c r="M21" i="21" s="1"/>
  <c r="N21" i="21" s="1"/>
  <c r="O21" i="21" s="1"/>
  <c r="L20" i="21"/>
  <c r="M20" i="21" s="1"/>
  <c r="N20" i="21" s="1"/>
  <c r="O20" i="21" s="1"/>
  <c r="L19" i="21"/>
  <c r="M19" i="21" s="1"/>
  <c r="N19" i="21" s="1"/>
  <c r="O19" i="21" s="1"/>
  <c r="L18" i="21"/>
  <c r="M18" i="21" s="1"/>
  <c r="N18" i="21" s="1"/>
  <c r="O18" i="21" s="1"/>
  <c r="L17" i="21"/>
  <c r="M17" i="21" s="1"/>
  <c r="N17" i="21" s="1"/>
  <c r="O17" i="21" s="1"/>
  <c r="M16" i="21"/>
  <c r="N16" i="21" s="1"/>
  <c r="O16" i="21" s="1"/>
  <c r="L16" i="21"/>
  <c r="L15" i="21"/>
  <c r="M15" i="21" s="1"/>
  <c r="N15" i="21" s="1"/>
  <c r="O15" i="21" s="1"/>
  <c r="L14" i="21"/>
  <c r="M14" i="21" s="1"/>
  <c r="N14" i="21" s="1"/>
  <c r="O14" i="21" s="1"/>
  <c r="L13" i="21"/>
  <c r="M13" i="21" s="1"/>
  <c r="N13" i="21" s="1"/>
  <c r="O13" i="21" s="1"/>
  <c r="L12" i="21"/>
  <c r="M12" i="21" s="1"/>
  <c r="N12" i="21" s="1"/>
  <c r="O12" i="21" s="1"/>
  <c r="L11" i="21"/>
  <c r="M11" i="21" s="1"/>
  <c r="N11" i="21" s="1"/>
  <c r="O11" i="21" s="1"/>
  <c r="L10" i="21"/>
  <c r="M10" i="21" s="1"/>
  <c r="N10" i="21" s="1"/>
  <c r="O10" i="21" s="1"/>
  <c r="M9" i="21"/>
  <c r="N9" i="21" s="1"/>
  <c r="O9" i="21" s="1"/>
  <c r="L9" i="21"/>
  <c r="L8" i="21"/>
  <c r="M8" i="21" s="1"/>
  <c r="N8" i="21" s="1"/>
  <c r="O8" i="21" s="1"/>
  <c r="L7" i="21"/>
  <c r="M7" i="21" s="1"/>
  <c r="N7" i="21" s="1"/>
  <c r="O7" i="21" s="1"/>
  <c r="L6" i="21"/>
  <c r="M6" i="21" s="1"/>
  <c r="N6" i="21" s="1"/>
  <c r="O6" i="21" s="1"/>
  <c r="L5" i="21"/>
  <c r="M5" i="21" s="1"/>
  <c r="N5" i="21" s="1"/>
  <c r="O5" i="21" s="1"/>
  <c r="L4" i="21"/>
  <c r="M4" i="21" s="1"/>
  <c r="N4" i="21" s="1"/>
  <c r="O4" i="21" s="1"/>
  <c r="L3" i="21"/>
  <c r="M3" i="21" s="1"/>
  <c r="N3" i="21" s="1"/>
  <c r="O3" i="21" s="1"/>
  <c r="M2" i="21"/>
  <c r="N2" i="21" s="1"/>
  <c r="O2" i="21" s="1"/>
  <c r="L2" i="21"/>
  <c r="G39" i="21"/>
  <c r="H39" i="21"/>
  <c r="F34" i="21"/>
  <c r="G34" i="21" s="1"/>
  <c r="I34" i="21"/>
  <c r="F35" i="21"/>
  <c r="G35" i="21" s="1"/>
  <c r="H35" i="21" s="1"/>
  <c r="J35" i="21" s="1"/>
  <c r="I35" i="21"/>
  <c r="L22" i="20"/>
  <c r="M22" i="20"/>
  <c r="N22" i="20" s="1"/>
  <c r="O22" i="20" s="1"/>
  <c r="L23" i="20"/>
  <c r="M23" i="20"/>
  <c r="N23" i="20"/>
  <c r="O23" i="20"/>
  <c r="L24" i="20"/>
  <c r="M24" i="20"/>
  <c r="N24" i="20"/>
  <c r="O24" i="20"/>
  <c r="L25" i="20"/>
  <c r="M25" i="20"/>
  <c r="N25" i="20"/>
  <c r="O25" i="20"/>
  <c r="L26" i="20"/>
  <c r="M26" i="20" s="1"/>
  <c r="N26" i="20" s="1"/>
  <c r="O26" i="20" s="1"/>
  <c r="L27" i="20"/>
  <c r="M27" i="20"/>
  <c r="N27" i="20"/>
  <c r="O27" i="20"/>
  <c r="L28" i="20"/>
  <c r="M28" i="20"/>
  <c r="N28" i="20"/>
  <c r="O28" i="20"/>
  <c r="L29" i="20"/>
  <c r="M29" i="20"/>
  <c r="N29" i="20" s="1"/>
  <c r="O29" i="20" s="1"/>
  <c r="L21" i="20"/>
  <c r="M21" i="20" s="1"/>
  <c r="N21" i="20" s="1"/>
  <c r="O21" i="20" s="1"/>
  <c r="L20" i="20"/>
  <c r="M20" i="20" s="1"/>
  <c r="N20" i="20" s="1"/>
  <c r="O20" i="20" s="1"/>
  <c r="L19" i="20"/>
  <c r="M19" i="20" s="1"/>
  <c r="N19" i="20" s="1"/>
  <c r="O19" i="20" s="1"/>
  <c r="L18" i="20"/>
  <c r="M18" i="20" s="1"/>
  <c r="N18" i="20" s="1"/>
  <c r="O18" i="20" s="1"/>
  <c r="L17" i="20"/>
  <c r="M17" i="20" s="1"/>
  <c r="N17" i="20" s="1"/>
  <c r="O17" i="20" s="1"/>
  <c r="L16" i="20"/>
  <c r="M16" i="20" s="1"/>
  <c r="N16" i="20" s="1"/>
  <c r="O16" i="20" s="1"/>
  <c r="M15" i="20"/>
  <c r="N15" i="20" s="1"/>
  <c r="O15" i="20" s="1"/>
  <c r="L15" i="20"/>
  <c r="L14" i="20"/>
  <c r="M14" i="20" s="1"/>
  <c r="N14" i="20" s="1"/>
  <c r="O14" i="20" s="1"/>
  <c r="L13" i="20"/>
  <c r="M13" i="20" s="1"/>
  <c r="N13" i="20" s="1"/>
  <c r="O13" i="20" s="1"/>
  <c r="L12" i="20"/>
  <c r="M12" i="20" s="1"/>
  <c r="N12" i="20" s="1"/>
  <c r="O12" i="20" s="1"/>
  <c r="L11" i="20"/>
  <c r="M11" i="20" s="1"/>
  <c r="N11" i="20" s="1"/>
  <c r="O11" i="20" s="1"/>
  <c r="L10" i="20"/>
  <c r="M10" i="20" s="1"/>
  <c r="N10" i="20" s="1"/>
  <c r="O10" i="20" s="1"/>
  <c r="L9" i="20"/>
  <c r="M9" i="20" s="1"/>
  <c r="N9" i="20" s="1"/>
  <c r="O9" i="20" s="1"/>
  <c r="M8" i="20"/>
  <c r="N8" i="20" s="1"/>
  <c r="O8" i="20" s="1"/>
  <c r="L8" i="20"/>
  <c r="L7" i="20"/>
  <c r="M7" i="20" s="1"/>
  <c r="N7" i="20" s="1"/>
  <c r="O7" i="20" s="1"/>
  <c r="L6" i="20"/>
  <c r="M6" i="20" s="1"/>
  <c r="N6" i="20" s="1"/>
  <c r="O6" i="20" s="1"/>
  <c r="L5" i="20"/>
  <c r="M5" i="20" s="1"/>
  <c r="N5" i="20" s="1"/>
  <c r="O5" i="20" s="1"/>
  <c r="L4" i="20"/>
  <c r="M4" i="20" s="1"/>
  <c r="N4" i="20" s="1"/>
  <c r="O4" i="20" s="1"/>
  <c r="L3" i="20"/>
  <c r="M3" i="20" s="1"/>
  <c r="N3" i="20" s="1"/>
  <c r="O3" i="20" s="1"/>
  <c r="L2" i="20"/>
  <c r="M2" i="20" s="1"/>
  <c r="N2" i="20" s="1"/>
  <c r="O2" i="20" s="1"/>
  <c r="L21" i="19"/>
  <c r="M21" i="19" s="1"/>
  <c r="N21" i="19" s="1"/>
  <c r="O21" i="19" s="1"/>
  <c r="L20" i="19"/>
  <c r="M20" i="19" s="1"/>
  <c r="N20" i="19" s="1"/>
  <c r="O20" i="19" s="1"/>
  <c r="M19" i="19"/>
  <c r="N19" i="19" s="1"/>
  <c r="O19" i="19" s="1"/>
  <c r="L19" i="19"/>
  <c r="L18" i="19"/>
  <c r="M18" i="19" s="1"/>
  <c r="N18" i="19" s="1"/>
  <c r="O18" i="19" s="1"/>
  <c r="L17" i="19"/>
  <c r="M17" i="19" s="1"/>
  <c r="N17" i="19" s="1"/>
  <c r="O17" i="19" s="1"/>
  <c r="L16" i="19"/>
  <c r="M16" i="19" s="1"/>
  <c r="N16" i="19" s="1"/>
  <c r="O16" i="19" s="1"/>
  <c r="L15" i="19"/>
  <c r="M15" i="19" s="1"/>
  <c r="N15" i="19" s="1"/>
  <c r="O15" i="19" s="1"/>
  <c r="L14" i="19"/>
  <c r="M14" i="19" s="1"/>
  <c r="N14" i="19" s="1"/>
  <c r="O14" i="19" s="1"/>
  <c r="L13" i="19"/>
  <c r="M13" i="19" s="1"/>
  <c r="N13" i="19" s="1"/>
  <c r="O13" i="19" s="1"/>
  <c r="M12" i="19"/>
  <c r="N12" i="19" s="1"/>
  <c r="O12" i="19" s="1"/>
  <c r="L12" i="19"/>
  <c r="L11" i="19"/>
  <c r="M11" i="19" s="1"/>
  <c r="N11" i="19" s="1"/>
  <c r="O11" i="19" s="1"/>
  <c r="L10" i="19"/>
  <c r="M10" i="19" s="1"/>
  <c r="N10" i="19" s="1"/>
  <c r="O10" i="19" s="1"/>
  <c r="L9" i="19"/>
  <c r="M9" i="19" s="1"/>
  <c r="N9" i="19" s="1"/>
  <c r="O9" i="19" s="1"/>
  <c r="L8" i="19"/>
  <c r="M8" i="19" s="1"/>
  <c r="N8" i="19" s="1"/>
  <c r="O8" i="19" s="1"/>
  <c r="L7" i="19"/>
  <c r="M7" i="19" s="1"/>
  <c r="N7" i="19" s="1"/>
  <c r="O7" i="19" s="1"/>
  <c r="L6" i="19"/>
  <c r="M6" i="19" s="1"/>
  <c r="N6" i="19" s="1"/>
  <c r="O6" i="19" s="1"/>
  <c r="M5" i="19"/>
  <c r="N5" i="19" s="1"/>
  <c r="O5" i="19" s="1"/>
  <c r="L5" i="19"/>
  <c r="L4" i="19"/>
  <c r="M4" i="19" s="1"/>
  <c r="N4" i="19" s="1"/>
  <c r="O4" i="19" s="1"/>
  <c r="L3" i="19"/>
  <c r="M3" i="19" s="1"/>
  <c r="N3" i="19" s="1"/>
  <c r="O3" i="19" s="1"/>
  <c r="L2" i="19"/>
  <c r="M2" i="19" s="1"/>
  <c r="N2" i="19" s="1"/>
  <c r="O2" i="19" s="1"/>
  <c r="L25" i="18"/>
  <c r="M25" i="18"/>
  <c r="N25" i="18" s="1"/>
  <c r="O25" i="18" s="1"/>
  <c r="L26" i="18"/>
  <c r="M26" i="18" s="1"/>
  <c r="N26" i="18" s="1"/>
  <c r="O26" i="18" s="1"/>
  <c r="L27" i="18"/>
  <c r="M27" i="18"/>
  <c r="N27" i="18" s="1"/>
  <c r="O27" i="18" s="1"/>
  <c r="L28" i="18"/>
  <c r="M28" i="18"/>
  <c r="N28" i="18"/>
  <c r="O28" i="18"/>
  <c r="L29" i="18"/>
  <c r="M29" i="18" s="1"/>
  <c r="N29" i="18" s="1"/>
  <c r="O29" i="18" s="1"/>
  <c r="L30" i="18"/>
  <c r="M30" i="18"/>
  <c r="N30" i="18"/>
  <c r="O30" i="18"/>
  <c r="L31" i="18"/>
  <c r="M31" i="18"/>
  <c r="N31" i="18"/>
  <c r="O31" i="18"/>
  <c r="L32" i="18"/>
  <c r="M32" i="18"/>
  <c r="N32" i="18" s="1"/>
  <c r="O32" i="18" s="1"/>
  <c r="L24" i="18"/>
  <c r="M24" i="18" s="1"/>
  <c r="N24" i="18" s="1"/>
  <c r="O24" i="18" s="1"/>
  <c r="L23" i="18"/>
  <c r="M23" i="18" s="1"/>
  <c r="N23" i="18" s="1"/>
  <c r="O23" i="18" s="1"/>
  <c r="L22" i="18"/>
  <c r="M22" i="18" s="1"/>
  <c r="N22" i="18" s="1"/>
  <c r="O22" i="18" s="1"/>
  <c r="L21" i="18"/>
  <c r="M21" i="18" s="1"/>
  <c r="N21" i="18" s="1"/>
  <c r="O21" i="18" s="1"/>
  <c r="L20" i="18"/>
  <c r="M20" i="18" s="1"/>
  <c r="N20" i="18" s="1"/>
  <c r="O20" i="18" s="1"/>
  <c r="L19" i="18"/>
  <c r="M19" i="18" s="1"/>
  <c r="N19" i="18" s="1"/>
  <c r="O19" i="18" s="1"/>
  <c r="M18" i="18"/>
  <c r="N18" i="18" s="1"/>
  <c r="O18" i="18" s="1"/>
  <c r="L18" i="18"/>
  <c r="L17" i="18"/>
  <c r="M17" i="18" s="1"/>
  <c r="N17" i="18" s="1"/>
  <c r="O17" i="18" s="1"/>
  <c r="L16" i="18"/>
  <c r="M16" i="18" s="1"/>
  <c r="N16" i="18" s="1"/>
  <c r="O16" i="18" s="1"/>
  <c r="L15" i="18"/>
  <c r="M15" i="18" s="1"/>
  <c r="N15" i="18" s="1"/>
  <c r="O15" i="18" s="1"/>
  <c r="L14" i="18"/>
  <c r="M14" i="18" s="1"/>
  <c r="N14" i="18" s="1"/>
  <c r="O14" i="18" s="1"/>
  <c r="L13" i="18"/>
  <c r="M13" i="18" s="1"/>
  <c r="N13" i="18" s="1"/>
  <c r="O13" i="18" s="1"/>
  <c r="L12" i="18"/>
  <c r="M12" i="18" s="1"/>
  <c r="N12" i="18" s="1"/>
  <c r="O12" i="18" s="1"/>
  <c r="M11" i="18"/>
  <c r="N11" i="18" s="1"/>
  <c r="O11" i="18" s="1"/>
  <c r="L11" i="18"/>
  <c r="L10" i="18"/>
  <c r="M10" i="18" s="1"/>
  <c r="N10" i="18" s="1"/>
  <c r="O10" i="18" s="1"/>
  <c r="L9" i="18"/>
  <c r="M9" i="18" s="1"/>
  <c r="N9" i="18" s="1"/>
  <c r="O9" i="18" s="1"/>
  <c r="L8" i="18"/>
  <c r="M8" i="18" s="1"/>
  <c r="N8" i="18" s="1"/>
  <c r="O8" i="18" s="1"/>
  <c r="L7" i="18"/>
  <c r="M7" i="18" s="1"/>
  <c r="N7" i="18" s="1"/>
  <c r="O7" i="18" s="1"/>
  <c r="L6" i="18"/>
  <c r="M6" i="18" s="1"/>
  <c r="N6" i="18" s="1"/>
  <c r="O6" i="18" s="1"/>
  <c r="L5" i="18"/>
  <c r="M5" i="18" s="1"/>
  <c r="N5" i="18" s="1"/>
  <c r="O5" i="18" s="1"/>
  <c r="M4" i="18"/>
  <c r="N4" i="18" s="1"/>
  <c r="O4" i="18" s="1"/>
  <c r="L4" i="18"/>
  <c r="L3" i="18"/>
  <c r="M3" i="18" s="1"/>
  <c r="N3" i="18" s="1"/>
  <c r="O3" i="18" s="1"/>
  <c r="L2" i="18"/>
  <c r="M2" i="18" s="1"/>
  <c r="N2" i="18" s="1"/>
  <c r="O2" i="18" s="1"/>
  <c r="L23" i="17"/>
  <c r="M23" i="17" s="1"/>
  <c r="N23" i="17" s="1"/>
  <c r="O23" i="17" s="1"/>
  <c r="L24" i="17"/>
  <c r="M24" i="17" s="1"/>
  <c r="N24" i="17" s="1"/>
  <c r="O24" i="17" s="1"/>
  <c r="L22" i="17"/>
  <c r="M22" i="17" s="1"/>
  <c r="N22" i="17" s="1"/>
  <c r="O22" i="17" s="1"/>
  <c r="L21" i="17"/>
  <c r="M21" i="17" s="1"/>
  <c r="N21" i="17" s="1"/>
  <c r="O21" i="17" s="1"/>
  <c r="L20" i="17"/>
  <c r="M20" i="17" s="1"/>
  <c r="N20" i="17" s="1"/>
  <c r="O20" i="17" s="1"/>
  <c r="L19" i="17"/>
  <c r="M19" i="17" s="1"/>
  <c r="N19" i="17" s="1"/>
  <c r="O19" i="17" s="1"/>
  <c r="L18" i="17"/>
  <c r="M18" i="17" s="1"/>
  <c r="N18" i="17" s="1"/>
  <c r="O18" i="17" s="1"/>
  <c r="L17" i="17"/>
  <c r="M17" i="17" s="1"/>
  <c r="N17" i="17" s="1"/>
  <c r="O17" i="17" s="1"/>
  <c r="M16" i="17"/>
  <c r="N16" i="17" s="1"/>
  <c r="O16" i="17" s="1"/>
  <c r="L16" i="17"/>
  <c r="L15" i="17"/>
  <c r="M15" i="17" s="1"/>
  <c r="N15" i="17" s="1"/>
  <c r="O15" i="17" s="1"/>
  <c r="L14" i="17"/>
  <c r="M14" i="17" s="1"/>
  <c r="N14" i="17" s="1"/>
  <c r="O14" i="17" s="1"/>
  <c r="L13" i="17"/>
  <c r="M13" i="17" s="1"/>
  <c r="N13" i="17" s="1"/>
  <c r="O13" i="17" s="1"/>
  <c r="L12" i="17"/>
  <c r="M12" i="17" s="1"/>
  <c r="N12" i="17" s="1"/>
  <c r="O12" i="17" s="1"/>
  <c r="L11" i="17"/>
  <c r="M11" i="17" s="1"/>
  <c r="N11" i="17" s="1"/>
  <c r="O11" i="17" s="1"/>
  <c r="L10" i="17"/>
  <c r="M10" i="17" s="1"/>
  <c r="N10" i="17" s="1"/>
  <c r="O10" i="17" s="1"/>
  <c r="M9" i="17"/>
  <c r="N9" i="17" s="1"/>
  <c r="O9" i="17" s="1"/>
  <c r="L9" i="17"/>
  <c r="L8" i="17"/>
  <c r="M8" i="17" s="1"/>
  <c r="N8" i="17" s="1"/>
  <c r="O8" i="17" s="1"/>
  <c r="L7" i="17"/>
  <c r="M7" i="17" s="1"/>
  <c r="N7" i="17" s="1"/>
  <c r="O7" i="17" s="1"/>
  <c r="L6" i="17"/>
  <c r="M6" i="17" s="1"/>
  <c r="N6" i="17" s="1"/>
  <c r="O6" i="17" s="1"/>
  <c r="L5" i="17"/>
  <c r="M5" i="17" s="1"/>
  <c r="N5" i="17" s="1"/>
  <c r="O5" i="17" s="1"/>
  <c r="L4" i="17"/>
  <c r="M4" i="17" s="1"/>
  <c r="N4" i="17" s="1"/>
  <c r="O4" i="17" s="1"/>
  <c r="L3" i="17"/>
  <c r="M3" i="17" s="1"/>
  <c r="N3" i="17" s="1"/>
  <c r="O3" i="17" s="1"/>
  <c r="M2" i="17"/>
  <c r="N2" i="17" s="1"/>
  <c r="O2" i="17" s="1"/>
  <c r="L2" i="17"/>
  <c r="L22" i="16"/>
  <c r="M22" i="16" s="1"/>
  <c r="N22" i="16" s="1"/>
  <c r="O22" i="16" s="1"/>
  <c r="M21" i="16"/>
  <c r="N21" i="16" s="1"/>
  <c r="O21" i="16" s="1"/>
  <c r="L21" i="16"/>
  <c r="L20" i="16"/>
  <c r="M20" i="16" s="1"/>
  <c r="N20" i="16" s="1"/>
  <c r="O20" i="16" s="1"/>
  <c r="L19" i="16"/>
  <c r="M19" i="16" s="1"/>
  <c r="N19" i="16" s="1"/>
  <c r="O19" i="16" s="1"/>
  <c r="L18" i="16"/>
  <c r="M18" i="16" s="1"/>
  <c r="N18" i="16" s="1"/>
  <c r="O18" i="16" s="1"/>
  <c r="L17" i="16"/>
  <c r="M17" i="16" s="1"/>
  <c r="N17" i="16" s="1"/>
  <c r="O17" i="16" s="1"/>
  <c r="L16" i="16"/>
  <c r="M16" i="16" s="1"/>
  <c r="N16" i="16" s="1"/>
  <c r="O16" i="16" s="1"/>
  <c r="L15" i="16"/>
  <c r="M15" i="16" s="1"/>
  <c r="N15" i="16" s="1"/>
  <c r="O15" i="16" s="1"/>
  <c r="M14" i="16"/>
  <c r="N14" i="16" s="1"/>
  <c r="O14" i="16" s="1"/>
  <c r="L14" i="16"/>
  <c r="L13" i="16"/>
  <c r="M13" i="16" s="1"/>
  <c r="N13" i="16" s="1"/>
  <c r="O13" i="16" s="1"/>
  <c r="L12" i="16"/>
  <c r="M12" i="16" s="1"/>
  <c r="N12" i="16" s="1"/>
  <c r="O12" i="16" s="1"/>
  <c r="L11" i="16"/>
  <c r="M11" i="16" s="1"/>
  <c r="N11" i="16" s="1"/>
  <c r="O11" i="16" s="1"/>
  <c r="L10" i="16"/>
  <c r="M10" i="16" s="1"/>
  <c r="N10" i="16" s="1"/>
  <c r="O10" i="16" s="1"/>
  <c r="L9" i="16"/>
  <c r="M9" i="16" s="1"/>
  <c r="N9" i="16" s="1"/>
  <c r="O9" i="16" s="1"/>
  <c r="L8" i="16"/>
  <c r="M8" i="16" s="1"/>
  <c r="N8" i="16" s="1"/>
  <c r="O8" i="16" s="1"/>
  <c r="M7" i="16"/>
  <c r="N7" i="16" s="1"/>
  <c r="O7" i="16" s="1"/>
  <c r="L7" i="16"/>
  <c r="L6" i="16"/>
  <c r="M6" i="16" s="1"/>
  <c r="N6" i="16" s="1"/>
  <c r="O6" i="16" s="1"/>
  <c r="L5" i="16"/>
  <c r="M5" i="16" s="1"/>
  <c r="N5" i="16" s="1"/>
  <c r="O5" i="16" s="1"/>
  <c r="L4" i="16"/>
  <c r="M4" i="16" s="1"/>
  <c r="N4" i="16" s="1"/>
  <c r="O4" i="16" s="1"/>
  <c r="L3" i="16"/>
  <c r="M3" i="16" s="1"/>
  <c r="N3" i="16" s="1"/>
  <c r="O3" i="16" s="1"/>
  <c r="L2" i="16"/>
  <c r="M2" i="16" s="1"/>
  <c r="N2" i="16" s="1"/>
  <c r="O2" i="16" s="1"/>
  <c r="L27" i="15"/>
  <c r="M27" i="15" s="1"/>
  <c r="N27" i="15" s="1"/>
  <c r="O27" i="15" s="1"/>
  <c r="L26" i="15"/>
  <c r="M26" i="15" s="1"/>
  <c r="N26" i="15" s="1"/>
  <c r="O26" i="15" s="1"/>
  <c r="M25" i="15"/>
  <c r="N25" i="15" s="1"/>
  <c r="O25" i="15" s="1"/>
  <c r="L25" i="15"/>
  <c r="L24" i="15"/>
  <c r="M24" i="15" s="1"/>
  <c r="N24" i="15" s="1"/>
  <c r="O24" i="15" s="1"/>
  <c r="L23" i="15"/>
  <c r="M23" i="15" s="1"/>
  <c r="N23" i="15" s="1"/>
  <c r="O23" i="15" s="1"/>
  <c r="M22" i="15"/>
  <c r="N22" i="15" s="1"/>
  <c r="O22" i="15" s="1"/>
  <c r="L22" i="15"/>
  <c r="L21" i="15"/>
  <c r="M21" i="15" s="1"/>
  <c r="N21" i="15" s="1"/>
  <c r="O21" i="15" s="1"/>
  <c r="L20" i="15"/>
  <c r="M20" i="15" s="1"/>
  <c r="N20" i="15" s="1"/>
  <c r="O20" i="15" s="1"/>
  <c r="L19" i="15"/>
  <c r="M19" i="15" s="1"/>
  <c r="N19" i="15" s="1"/>
  <c r="O19" i="15" s="1"/>
  <c r="M18" i="15"/>
  <c r="N18" i="15" s="1"/>
  <c r="O18" i="15" s="1"/>
  <c r="L18" i="15"/>
  <c r="L17" i="15"/>
  <c r="M17" i="15" s="1"/>
  <c r="N17" i="15" s="1"/>
  <c r="O17" i="15" s="1"/>
  <c r="L16" i="15"/>
  <c r="M16" i="15" s="1"/>
  <c r="N16" i="15" s="1"/>
  <c r="O16" i="15" s="1"/>
  <c r="M15" i="15"/>
  <c r="N15" i="15" s="1"/>
  <c r="O15" i="15" s="1"/>
  <c r="L15" i="15"/>
  <c r="L14" i="15"/>
  <c r="M14" i="15" s="1"/>
  <c r="N14" i="15" s="1"/>
  <c r="O14" i="15" s="1"/>
  <c r="L13" i="15"/>
  <c r="M13" i="15" s="1"/>
  <c r="N13" i="15" s="1"/>
  <c r="O13" i="15" s="1"/>
  <c r="L12" i="15"/>
  <c r="M12" i="15" s="1"/>
  <c r="N12" i="15" s="1"/>
  <c r="O12" i="15" s="1"/>
  <c r="M11" i="15"/>
  <c r="N11" i="15" s="1"/>
  <c r="O11" i="15" s="1"/>
  <c r="L11" i="15"/>
  <c r="L10" i="15"/>
  <c r="M10" i="15" s="1"/>
  <c r="N10" i="15" s="1"/>
  <c r="O10" i="15" s="1"/>
  <c r="L9" i="15"/>
  <c r="M9" i="15" s="1"/>
  <c r="N9" i="15" s="1"/>
  <c r="O9" i="15" s="1"/>
  <c r="M8" i="15"/>
  <c r="N8" i="15" s="1"/>
  <c r="O8" i="15" s="1"/>
  <c r="L8" i="15"/>
  <c r="L7" i="15"/>
  <c r="M7" i="15" s="1"/>
  <c r="N7" i="15" s="1"/>
  <c r="O7" i="15" s="1"/>
  <c r="L6" i="15"/>
  <c r="M6" i="15" s="1"/>
  <c r="N6" i="15" s="1"/>
  <c r="O6" i="15" s="1"/>
  <c r="L5" i="15"/>
  <c r="M5" i="15" s="1"/>
  <c r="N5" i="15" s="1"/>
  <c r="O5" i="15" s="1"/>
  <c r="M4" i="15"/>
  <c r="N4" i="15" s="1"/>
  <c r="O4" i="15" s="1"/>
  <c r="L4" i="15"/>
  <c r="L3" i="15"/>
  <c r="M3" i="15" s="1"/>
  <c r="N3" i="15" s="1"/>
  <c r="O3" i="15" s="1"/>
  <c r="L2" i="15"/>
  <c r="M2" i="15" s="1"/>
  <c r="N2" i="15" s="1"/>
  <c r="O2" i="15" s="1"/>
  <c r="M22" i="14"/>
  <c r="N22" i="14" s="1"/>
  <c r="O22" i="14" s="1"/>
  <c r="L22" i="14"/>
  <c r="L21" i="14"/>
  <c r="M21" i="14" s="1"/>
  <c r="N21" i="14" s="1"/>
  <c r="O21" i="14" s="1"/>
  <c r="L20" i="14"/>
  <c r="M20" i="14" s="1"/>
  <c r="N20" i="14" s="1"/>
  <c r="O20" i="14" s="1"/>
  <c r="L19" i="14"/>
  <c r="M19" i="14" s="1"/>
  <c r="N19" i="14" s="1"/>
  <c r="O19" i="14" s="1"/>
  <c r="L18" i="14"/>
  <c r="M18" i="14" s="1"/>
  <c r="N18" i="14" s="1"/>
  <c r="O18" i="14" s="1"/>
  <c r="L17" i="14"/>
  <c r="M17" i="14" s="1"/>
  <c r="N17" i="14" s="1"/>
  <c r="O17" i="14" s="1"/>
  <c r="L16" i="14"/>
  <c r="M16" i="14" s="1"/>
  <c r="N16" i="14" s="1"/>
  <c r="O16" i="14" s="1"/>
  <c r="M15" i="14"/>
  <c r="N15" i="14" s="1"/>
  <c r="O15" i="14" s="1"/>
  <c r="L15" i="14"/>
  <c r="L14" i="14"/>
  <c r="M14" i="14" s="1"/>
  <c r="N14" i="14" s="1"/>
  <c r="O14" i="14" s="1"/>
  <c r="L13" i="14"/>
  <c r="M13" i="14" s="1"/>
  <c r="N13" i="14" s="1"/>
  <c r="O13" i="14" s="1"/>
  <c r="L12" i="14"/>
  <c r="M12" i="14" s="1"/>
  <c r="N12" i="14" s="1"/>
  <c r="O12" i="14" s="1"/>
  <c r="L11" i="14"/>
  <c r="M11" i="14" s="1"/>
  <c r="N11" i="14" s="1"/>
  <c r="O11" i="14" s="1"/>
  <c r="L10" i="14"/>
  <c r="M10" i="14" s="1"/>
  <c r="N10" i="14" s="1"/>
  <c r="O10" i="14" s="1"/>
  <c r="L9" i="14"/>
  <c r="M9" i="14" s="1"/>
  <c r="N9" i="14" s="1"/>
  <c r="O9" i="14" s="1"/>
  <c r="M8" i="14"/>
  <c r="N8" i="14" s="1"/>
  <c r="O8" i="14" s="1"/>
  <c r="L8" i="14"/>
  <c r="L7" i="14"/>
  <c r="M7" i="14" s="1"/>
  <c r="N7" i="14" s="1"/>
  <c r="O7" i="14" s="1"/>
  <c r="L6" i="14"/>
  <c r="M6" i="14" s="1"/>
  <c r="N6" i="14" s="1"/>
  <c r="O6" i="14" s="1"/>
  <c r="L5" i="14"/>
  <c r="M5" i="14" s="1"/>
  <c r="N5" i="14" s="1"/>
  <c r="O5" i="14" s="1"/>
  <c r="L4" i="14"/>
  <c r="M4" i="14" s="1"/>
  <c r="N4" i="14" s="1"/>
  <c r="O4" i="14" s="1"/>
  <c r="L3" i="14"/>
  <c r="M3" i="14" s="1"/>
  <c r="N3" i="14" s="1"/>
  <c r="O3" i="14" s="1"/>
  <c r="L2" i="14"/>
  <c r="M2" i="14" s="1"/>
  <c r="N2" i="14" s="1"/>
  <c r="O2" i="14" s="1"/>
  <c r="L28" i="13"/>
  <c r="M28" i="13" s="1"/>
  <c r="N28" i="13" s="1"/>
  <c r="O28" i="13" s="1"/>
  <c r="L27" i="13"/>
  <c r="M27" i="13" s="1"/>
  <c r="N27" i="13" s="1"/>
  <c r="O27" i="13" s="1"/>
  <c r="L26" i="13"/>
  <c r="M26" i="13" s="1"/>
  <c r="N26" i="13" s="1"/>
  <c r="O26" i="13" s="1"/>
  <c r="L25" i="13"/>
  <c r="M25" i="13" s="1"/>
  <c r="N25" i="13" s="1"/>
  <c r="O25" i="13" s="1"/>
  <c r="L24" i="13"/>
  <c r="M24" i="13" s="1"/>
  <c r="N24" i="13" s="1"/>
  <c r="O24" i="13" s="1"/>
  <c r="M23" i="13"/>
  <c r="N23" i="13" s="1"/>
  <c r="O23" i="13" s="1"/>
  <c r="L23" i="13"/>
  <c r="L22" i="13"/>
  <c r="M22" i="13" s="1"/>
  <c r="N22" i="13" s="1"/>
  <c r="O22" i="13" s="1"/>
  <c r="L21" i="13"/>
  <c r="M21" i="13" s="1"/>
  <c r="N21" i="13" s="1"/>
  <c r="O21" i="13" s="1"/>
  <c r="L20" i="13"/>
  <c r="M20" i="13" s="1"/>
  <c r="N20" i="13" s="1"/>
  <c r="O20" i="13" s="1"/>
  <c r="L19" i="13"/>
  <c r="M19" i="13" s="1"/>
  <c r="N19" i="13" s="1"/>
  <c r="O19" i="13" s="1"/>
  <c r="L18" i="13"/>
  <c r="M18" i="13" s="1"/>
  <c r="N18" i="13" s="1"/>
  <c r="O18" i="13" s="1"/>
  <c r="L17" i="13"/>
  <c r="M17" i="13" s="1"/>
  <c r="N17" i="13" s="1"/>
  <c r="O17" i="13" s="1"/>
  <c r="M16" i="13"/>
  <c r="N16" i="13" s="1"/>
  <c r="O16" i="13" s="1"/>
  <c r="L16" i="13"/>
  <c r="L15" i="13"/>
  <c r="M15" i="13" s="1"/>
  <c r="N15" i="13" s="1"/>
  <c r="O15" i="13" s="1"/>
  <c r="L14" i="13"/>
  <c r="M14" i="13" s="1"/>
  <c r="N14" i="13" s="1"/>
  <c r="O14" i="13" s="1"/>
  <c r="L13" i="13"/>
  <c r="M13" i="13" s="1"/>
  <c r="N13" i="13" s="1"/>
  <c r="O13" i="13" s="1"/>
  <c r="L12" i="13"/>
  <c r="M12" i="13" s="1"/>
  <c r="N12" i="13" s="1"/>
  <c r="O12" i="13" s="1"/>
  <c r="L11" i="13"/>
  <c r="M11" i="13" s="1"/>
  <c r="N11" i="13" s="1"/>
  <c r="O11" i="13" s="1"/>
  <c r="L10" i="13"/>
  <c r="M10" i="13" s="1"/>
  <c r="N10" i="13" s="1"/>
  <c r="O10" i="13" s="1"/>
  <c r="M9" i="13"/>
  <c r="N9" i="13" s="1"/>
  <c r="O9" i="13" s="1"/>
  <c r="L9" i="13"/>
  <c r="L8" i="13"/>
  <c r="M8" i="13" s="1"/>
  <c r="N8" i="13" s="1"/>
  <c r="O8" i="13" s="1"/>
  <c r="L7" i="13"/>
  <c r="M7" i="13" s="1"/>
  <c r="N7" i="13" s="1"/>
  <c r="O7" i="13" s="1"/>
  <c r="L6" i="13"/>
  <c r="M6" i="13" s="1"/>
  <c r="N6" i="13" s="1"/>
  <c r="O6" i="13" s="1"/>
  <c r="L5" i="13"/>
  <c r="M5" i="13" s="1"/>
  <c r="N5" i="13" s="1"/>
  <c r="O5" i="13" s="1"/>
  <c r="L4" i="13"/>
  <c r="M4" i="13" s="1"/>
  <c r="N4" i="13" s="1"/>
  <c r="O4" i="13" s="1"/>
  <c r="L3" i="13"/>
  <c r="M3" i="13" s="1"/>
  <c r="N3" i="13" s="1"/>
  <c r="O3" i="13" s="1"/>
  <c r="M2" i="13"/>
  <c r="N2" i="13" s="1"/>
  <c r="O2" i="13" s="1"/>
  <c r="L2" i="13"/>
  <c r="L29" i="12"/>
  <c r="M29" i="12" s="1"/>
  <c r="N29" i="12" s="1"/>
  <c r="O29" i="12" s="1"/>
  <c r="L28" i="12"/>
  <c r="M28" i="12" s="1"/>
  <c r="N28" i="12" s="1"/>
  <c r="O28" i="12" s="1"/>
  <c r="L27" i="12"/>
  <c r="M27" i="12" s="1"/>
  <c r="N27" i="12" s="1"/>
  <c r="O27" i="12" s="1"/>
  <c r="L26" i="12"/>
  <c r="M26" i="12" s="1"/>
  <c r="N26" i="12" s="1"/>
  <c r="O26" i="12" s="1"/>
  <c r="L25" i="12"/>
  <c r="M25" i="12" s="1"/>
  <c r="N25" i="12" s="1"/>
  <c r="O25" i="12" s="1"/>
  <c r="L24" i="12"/>
  <c r="M24" i="12" s="1"/>
  <c r="N24" i="12" s="1"/>
  <c r="O24" i="12" s="1"/>
  <c r="M23" i="12"/>
  <c r="N23" i="12" s="1"/>
  <c r="O23" i="12" s="1"/>
  <c r="L23" i="12"/>
  <c r="L22" i="12"/>
  <c r="M22" i="12" s="1"/>
  <c r="N22" i="12" s="1"/>
  <c r="O22" i="12" s="1"/>
  <c r="L21" i="12"/>
  <c r="M21" i="12" s="1"/>
  <c r="N21" i="12" s="1"/>
  <c r="O21" i="12" s="1"/>
  <c r="L20" i="12"/>
  <c r="M20" i="12" s="1"/>
  <c r="N20" i="12" s="1"/>
  <c r="O20" i="12" s="1"/>
  <c r="L19" i="12"/>
  <c r="M19" i="12" s="1"/>
  <c r="N19" i="12" s="1"/>
  <c r="O19" i="12" s="1"/>
  <c r="L18" i="12"/>
  <c r="M18" i="12" s="1"/>
  <c r="N18" i="12" s="1"/>
  <c r="O18" i="12" s="1"/>
  <c r="L17" i="12"/>
  <c r="M17" i="12" s="1"/>
  <c r="N17" i="12" s="1"/>
  <c r="O17" i="12" s="1"/>
  <c r="M16" i="12"/>
  <c r="N16" i="12" s="1"/>
  <c r="O16" i="12" s="1"/>
  <c r="L16" i="12"/>
  <c r="L15" i="12"/>
  <c r="M15" i="12" s="1"/>
  <c r="N15" i="12" s="1"/>
  <c r="O15" i="12" s="1"/>
  <c r="L14" i="12"/>
  <c r="M14" i="12" s="1"/>
  <c r="N14" i="12" s="1"/>
  <c r="O14" i="12" s="1"/>
  <c r="L13" i="12"/>
  <c r="M13" i="12" s="1"/>
  <c r="N13" i="12" s="1"/>
  <c r="O13" i="12" s="1"/>
  <c r="L12" i="12"/>
  <c r="M12" i="12" s="1"/>
  <c r="N12" i="12" s="1"/>
  <c r="O12" i="12" s="1"/>
  <c r="L11" i="12"/>
  <c r="M11" i="12" s="1"/>
  <c r="N11" i="12" s="1"/>
  <c r="O11" i="12" s="1"/>
  <c r="L10" i="12"/>
  <c r="M10" i="12" s="1"/>
  <c r="N10" i="12" s="1"/>
  <c r="O10" i="12" s="1"/>
  <c r="M9" i="12"/>
  <c r="N9" i="12" s="1"/>
  <c r="O9" i="12" s="1"/>
  <c r="L9" i="12"/>
  <c r="L8" i="12"/>
  <c r="M8" i="12" s="1"/>
  <c r="N8" i="12" s="1"/>
  <c r="O8" i="12" s="1"/>
  <c r="L7" i="12"/>
  <c r="M7" i="12" s="1"/>
  <c r="N7" i="12" s="1"/>
  <c r="O7" i="12" s="1"/>
  <c r="L6" i="12"/>
  <c r="M6" i="12" s="1"/>
  <c r="N6" i="12" s="1"/>
  <c r="O6" i="12" s="1"/>
  <c r="L5" i="12"/>
  <c r="M5" i="12" s="1"/>
  <c r="N5" i="12" s="1"/>
  <c r="O5" i="12" s="1"/>
  <c r="L4" i="12"/>
  <c r="M4" i="12" s="1"/>
  <c r="N4" i="12" s="1"/>
  <c r="O4" i="12" s="1"/>
  <c r="L3" i="12"/>
  <c r="M3" i="12" s="1"/>
  <c r="N3" i="12" s="1"/>
  <c r="O3" i="12" s="1"/>
  <c r="M2" i="12"/>
  <c r="N2" i="12" s="1"/>
  <c r="O2" i="12" s="1"/>
  <c r="L2" i="12"/>
  <c r="L28" i="11"/>
  <c r="M28" i="11" s="1"/>
  <c r="N28" i="11" s="1"/>
  <c r="O28" i="11" s="1"/>
  <c r="L29" i="11"/>
  <c r="M29" i="11" s="1"/>
  <c r="N29" i="11" s="1"/>
  <c r="O29" i="11" s="1"/>
  <c r="L27" i="11"/>
  <c r="M27" i="11" s="1"/>
  <c r="N27" i="11" s="1"/>
  <c r="O27" i="11" s="1"/>
  <c r="L26" i="11"/>
  <c r="M26" i="11" s="1"/>
  <c r="N26" i="11" s="1"/>
  <c r="O26" i="11" s="1"/>
  <c r="L25" i="11"/>
  <c r="M25" i="11" s="1"/>
  <c r="N25" i="11" s="1"/>
  <c r="O25" i="11" s="1"/>
  <c r="L24" i="11"/>
  <c r="M24" i="11" s="1"/>
  <c r="N24" i="11" s="1"/>
  <c r="O24" i="11" s="1"/>
  <c r="L23" i="11"/>
  <c r="M23" i="11" s="1"/>
  <c r="N23" i="11" s="1"/>
  <c r="O23" i="11" s="1"/>
  <c r="L22" i="11"/>
  <c r="M22" i="11" s="1"/>
  <c r="N22" i="11" s="1"/>
  <c r="O22" i="11" s="1"/>
  <c r="M21" i="11"/>
  <c r="N21" i="11" s="1"/>
  <c r="O21" i="11" s="1"/>
  <c r="L21" i="11"/>
  <c r="L20" i="11"/>
  <c r="M20" i="11" s="1"/>
  <c r="N20" i="11" s="1"/>
  <c r="O20" i="11" s="1"/>
  <c r="L19" i="11"/>
  <c r="M19" i="11" s="1"/>
  <c r="N19" i="11" s="1"/>
  <c r="O19" i="11" s="1"/>
  <c r="L18" i="11"/>
  <c r="M18" i="11" s="1"/>
  <c r="N18" i="11" s="1"/>
  <c r="O18" i="11" s="1"/>
  <c r="L17" i="11"/>
  <c r="M17" i="11" s="1"/>
  <c r="N17" i="11" s="1"/>
  <c r="O17" i="11" s="1"/>
  <c r="L16" i="11"/>
  <c r="M16" i="11" s="1"/>
  <c r="N16" i="11" s="1"/>
  <c r="O16" i="11" s="1"/>
  <c r="L15" i="11"/>
  <c r="M15" i="11" s="1"/>
  <c r="N15" i="11" s="1"/>
  <c r="O15" i="11" s="1"/>
  <c r="M14" i="11"/>
  <c r="N14" i="11" s="1"/>
  <c r="O14" i="11" s="1"/>
  <c r="L14" i="11"/>
  <c r="L13" i="11"/>
  <c r="M13" i="11" s="1"/>
  <c r="N13" i="11" s="1"/>
  <c r="O13" i="11" s="1"/>
  <c r="L12" i="11"/>
  <c r="M12" i="11" s="1"/>
  <c r="N12" i="11" s="1"/>
  <c r="O12" i="11" s="1"/>
  <c r="L11" i="11"/>
  <c r="M11" i="11" s="1"/>
  <c r="N11" i="11" s="1"/>
  <c r="O11" i="11" s="1"/>
  <c r="L10" i="11"/>
  <c r="M10" i="11" s="1"/>
  <c r="N10" i="11" s="1"/>
  <c r="O10" i="11" s="1"/>
  <c r="L9" i="11"/>
  <c r="M9" i="11" s="1"/>
  <c r="N9" i="11" s="1"/>
  <c r="O9" i="11" s="1"/>
  <c r="L8" i="11"/>
  <c r="M8" i="11" s="1"/>
  <c r="N8" i="11" s="1"/>
  <c r="O8" i="11" s="1"/>
  <c r="M7" i="11"/>
  <c r="N7" i="11" s="1"/>
  <c r="O7" i="11" s="1"/>
  <c r="L7" i="11"/>
  <c r="L6" i="11"/>
  <c r="M6" i="11" s="1"/>
  <c r="N6" i="11" s="1"/>
  <c r="O6" i="11" s="1"/>
  <c r="L5" i="11"/>
  <c r="M5" i="11" s="1"/>
  <c r="N5" i="11" s="1"/>
  <c r="O5" i="11" s="1"/>
  <c r="L4" i="11"/>
  <c r="M4" i="11" s="1"/>
  <c r="N4" i="11" s="1"/>
  <c r="O4" i="11" s="1"/>
  <c r="L3" i="11"/>
  <c r="M3" i="11" s="1"/>
  <c r="N3" i="11" s="1"/>
  <c r="O3" i="11" s="1"/>
  <c r="L2" i="11"/>
  <c r="M2" i="11" s="1"/>
  <c r="N2" i="11" s="1"/>
  <c r="O2" i="11" s="1"/>
  <c r="L27" i="10"/>
  <c r="M27" i="10" s="1"/>
  <c r="N27" i="10" s="1"/>
  <c r="O27" i="10" s="1"/>
  <c r="L26" i="10"/>
  <c r="M26" i="10" s="1"/>
  <c r="N26" i="10" s="1"/>
  <c r="O26" i="10" s="1"/>
  <c r="L25" i="10"/>
  <c r="M25" i="10" s="1"/>
  <c r="N25" i="10" s="1"/>
  <c r="O25" i="10" s="1"/>
  <c r="L24" i="10"/>
  <c r="M24" i="10" s="1"/>
  <c r="N24" i="10" s="1"/>
  <c r="O24" i="10" s="1"/>
  <c r="L23" i="10"/>
  <c r="M23" i="10" s="1"/>
  <c r="N23" i="10" s="1"/>
  <c r="O23" i="10" s="1"/>
  <c r="M22" i="10"/>
  <c r="N22" i="10" s="1"/>
  <c r="O22" i="10" s="1"/>
  <c r="L22" i="10"/>
  <c r="L21" i="10"/>
  <c r="M21" i="10" s="1"/>
  <c r="N21" i="10" s="1"/>
  <c r="O21" i="10" s="1"/>
  <c r="L20" i="10"/>
  <c r="M20" i="10" s="1"/>
  <c r="N20" i="10" s="1"/>
  <c r="O20" i="10" s="1"/>
  <c r="L19" i="10"/>
  <c r="M19" i="10" s="1"/>
  <c r="N19" i="10" s="1"/>
  <c r="O19" i="10" s="1"/>
  <c r="L18" i="10"/>
  <c r="M18" i="10" s="1"/>
  <c r="N18" i="10" s="1"/>
  <c r="O18" i="10" s="1"/>
  <c r="L17" i="10"/>
  <c r="M17" i="10" s="1"/>
  <c r="N17" i="10" s="1"/>
  <c r="O17" i="10" s="1"/>
  <c r="L16" i="10"/>
  <c r="M16" i="10" s="1"/>
  <c r="N16" i="10" s="1"/>
  <c r="O16" i="10" s="1"/>
  <c r="M15" i="10"/>
  <c r="N15" i="10" s="1"/>
  <c r="O15" i="10" s="1"/>
  <c r="L15" i="10"/>
  <c r="L14" i="10"/>
  <c r="M14" i="10" s="1"/>
  <c r="N14" i="10" s="1"/>
  <c r="O14" i="10" s="1"/>
  <c r="L13" i="10"/>
  <c r="M13" i="10" s="1"/>
  <c r="N13" i="10" s="1"/>
  <c r="O13" i="10" s="1"/>
  <c r="L12" i="10"/>
  <c r="M12" i="10" s="1"/>
  <c r="N12" i="10" s="1"/>
  <c r="O12" i="10" s="1"/>
  <c r="L11" i="10"/>
  <c r="M11" i="10" s="1"/>
  <c r="N11" i="10" s="1"/>
  <c r="O11" i="10" s="1"/>
  <c r="L10" i="10"/>
  <c r="M10" i="10" s="1"/>
  <c r="N10" i="10" s="1"/>
  <c r="O10" i="10" s="1"/>
  <c r="L9" i="10"/>
  <c r="M9" i="10" s="1"/>
  <c r="N9" i="10" s="1"/>
  <c r="O9" i="10" s="1"/>
  <c r="M8" i="10"/>
  <c r="N8" i="10" s="1"/>
  <c r="O8" i="10" s="1"/>
  <c r="L8" i="10"/>
  <c r="L7" i="10"/>
  <c r="M7" i="10" s="1"/>
  <c r="N7" i="10" s="1"/>
  <c r="O7" i="10" s="1"/>
  <c r="L6" i="10"/>
  <c r="M6" i="10" s="1"/>
  <c r="N6" i="10" s="1"/>
  <c r="O6" i="10" s="1"/>
  <c r="L5" i="10"/>
  <c r="M5" i="10" s="1"/>
  <c r="N5" i="10" s="1"/>
  <c r="O5" i="10" s="1"/>
  <c r="L4" i="10"/>
  <c r="M4" i="10" s="1"/>
  <c r="N4" i="10" s="1"/>
  <c r="O4" i="10" s="1"/>
  <c r="L3" i="10"/>
  <c r="M3" i="10" s="1"/>
  <c r="N3" i="10" s="1"/>
  <c r="O3" i="10" s="1"/>
  <c r="L2" i="10"/>
  <c r="M2" i="10" s="1"/>
  <c r="N2" i="10" s="1"/>
  <c r="O2" i="10" s="1"/>
  <c r="L27" i="9"/>
  <c r="M27" i="9"/>
  <c r="N27" i="9" s="1"/>
  <c r="O27" i="9" s="1"/>
  <c r="L28" i="9"/>
  <c r="M28" i="9"/>
  <c r="N28" i="9" s="1"/>
  <c r="O28" i="9" s="1"/>
  <c r="L26" i="9"/>
  <c r="M26" i="9" s="1"/>
  <c r="N26" i="9" s="1"/>
  <c r="O26" i="9" s="1"/>
  <c r="L25" i="9"/>
  <c r="M25" i="9" s="1"/>
  <c r="N25" i="9" s="1"/>
  <c r="O25" i="9" s="1"/>
  <c r="L24" i="9"/>
  <c r="M24" i="9" s="1"/>
  <c r="N24" i="9" s="1"/>
  <c r="O24" i="9" s="1"/>
  <c r="L23" i="9"/>
  <c r="M23" i="9" s="1"/>
  <c r="N23" i="9" s="1"/>
  <c r="O23" i="9" s="1"/>
  <c r="L22" i="9"/>
  <c r="M22" i="9" s="1"/>
  <c r="N22" i="9" s="1"/>
  <c r="O22" i="9" s="1"/>
  <c r="L21" i="9"/>
  <c r="M21" i="9" s="1"/>
  <c r="N21" i="9" s="1"/>
  <c r="O21" i="9" s="1"/>
  <c r="M20" i="9"/>
  <c r="N20" i="9" s="1"/>
  <c r="O20" i="9" s="1"/>
  <c r="L20" i="9"/>
  <c r="L19" i="9"/>
  <c r="M19" i="9" s="1"/>
  <c r="N19" i="9" s="1"/>
  <c r="O19" i="9" s="1"/>
  <c r="L18" i="9"/>
  <c r="M18" i="9" s="1"/>
  <c r="N18" i="9" s="1"/>
  <c r="O18" i="9" s="1"/>
  <c r="L17" i="9"/>
  <c r="M17" i="9" s="1"/>
  <c r="N17" i="9" s="1"/>
  <c r="O17" i="9" s="1"/>
  <c r="L16" i="9"/>
  <c r="M16" i="9" s="1"/>
  <c r="N16" i="9" s="1"/>
  <c r="O16" i="9" s="1"/>
  <c r="L15" i="9"/>
  <c r="M15" i="9" s="1"/>
  <c r="N15" i="9" s="1"/>
  <c r="O15" i="9" s="1"/>
  <c r="L14" i="9"/>
  <c r="M14" i="9" s="1"/>
  <c r="N14" i="9" s="1"/>
  <c r="O14" i="9" s="1"/>
  <c r="M13" i="9"/>
  <c r="N13" i="9" s="1"/>
  <c r="O13" i="9" s="1"/>
  <c r="L13" i="9"/>
  <c r="L12" i="9"/>
  <c r="M12" i="9" s="1"/>
  <c r="N12" i="9" s="1"/>
  <c r="O12" i="9" s="1"/>
  <c r="L11" i="9"/>
  <c r="M11" i="9" s="1"/>
  <c r="N11" i="9" s="1"/>
  <c r="O11" i="9" s="1"/>
  <c r="L10" i="9"/>
  <c r="M10" i="9" s="1"/>
  <c r="N10" i="9" s="1"/>
  <c r="O10" i="9" s="1"/>
  <c r="L9" i="9"/>
  <c r="M9" i="9" s="1"/>
  <c r="N9" i="9" s="1"/>
  <c r="O9" i="9" s="1"/>
  <c r="L8" i="9"/>
  <c r="M8" i="9" s="1"/>
  <c r="N8" i="9" s="1"/>
  <c r="O8" i="9" s="1"/>
  <c r="L7" i="9"/>
  <c r="M7" i="9" s="1"/>
  <c r="N7" i="9" s="1"/>
  <c r="O7" i="9" s="1"/>
  <c r="M6" i="9"/>
  <c r="N6" i="9" s="1"/>
  <c r="O6" i="9" s="1"/>
  <c r="L6" i="9"/>
  <c r="L5" i="9"/>
  <c r="M5" i="9" s="1"/>
  <c r="N5" i="9" s="1"/>
  <c r="O5" i="9" s="1"/>
  <c r="L4" i="9"/>
  <c r="M4" i="9" s="1"/>
  <c r="N4" i="9" s="1"/>
  <c r="O4" i="9" s="1"/>
  <c r="L3" i="9"/>
  <c r="M3" i="9" s="1"/>
  <c r="N3" i="9" s="1"/>
  <c r="O3" i="9" s="1"/>
  <c r="L2" i="9"/>
  <c r="M2" i="9" s="1"/>
  <c r="N2" i="9" s="1"/>
  <c r="O2" i="9" s="1"/>
  <c r="L26" i="8"/>
  <c r="M26" i="8" s="1"/>
  <c r="N26" i="8" s="1"/>
  <c r="O26" i="8" s="1"/>
  <c r="L25" i="8"/>
  <c r="M25" i="8" s="1"/>
  <c r="N25" i="8" s="1"/>
  <c r="O25" i="8" s="1"/>
  <c r="M24" i="8"/>
  <c r="N24" i="8" s="1"/>
  <c r="O24" i="8" s="1"/>
  <c r="L24" i="8"/>
  <c r="L23" i="8"/>
  <c r="M23" i="8" s="1"/>
  <c r="N23" i="8" s="1"/>
  <c r="O23" i="8" s="1"/>
  <c r="L22" i="8"/>
  <c r="M22" i="8" s="1"/>
  <c r="N22" i="8" s="1"/>
  <c r="O22" i="8" s="1"/>
  <c r="L21" i="8"/>
  <c r="M21" i="8" s="1"/>
  <c r="N21" i="8" s="1"/>
  <c r="O21" i="8" s="1"/>
  <c r="L20" i="8"/>
  <c r="M20" i="8" s="1"/>
  <c r="N20" i="8" s="1"/>
  <c r="O20" i="8" s="1"/>
  <c r="L19" i="8"/>
  <c r="M19" i="8" s="1"/>
  <c r="N19" i="8" s="1"/>
  <c r="O19" i="8" s="1"/>
  <c r="L18" i="8"/>
  <c r="M18" i="8" s="1"/>
  <c r="N18" i="8" s="1"/>
  <c r="O18" i="8" s="1"/>
  <c r="M17" i="8"/>
  <c r="N17" i="8" s="1"/>
  <c r="O17" i="8" s="1"/>
  <c r="L17" i="8"/>
  <c r="L16" i="8"/>
  <c r="M16" i="8" s="1"/>
  <c r="N16" i="8" s="1"/>
  <c r="O16" i="8" s="1"/>
  <c r="L15" i="8"/>
  <c r="M15" i="8" s="1"/>
  <c r="N15" i="8" s="1"/>
  <c r="O15" i="8" s="1"/>
  <c r="L14" i="8"/>
  <c r="M14" i="8" s="1"/>
  <c r="N14" i="8" s="1"/>
  <c r="O14" i="8" s="1"/>
  <c r="L13" i="8"/>
  <c r="M13" i="8" s="1"/>
  <c r="N13" i="8" s="1"/>
  <c r="O13" i="8" s="1"/>
  <c r="L12" i="8"/>
  <c r="M12" i="8" s="1"/>
  <c r="N12" i="8" s="1"/>
  <c r="O12" i="8" s="1"/>
  <c r="L11" i="8"/>
  <c r="M11" i="8" s="1"/>
  <c r="N11" i="8" s="1"/>
  <c r="O11" i="8" s="1"/>
  <c r="M10" i="8"/>
  <c r="N10" i="8" s="1"/>
  <c r="O10" i="8" s="1"/>
  <c r="L10" i="8"/>
  <c r="L9" i="8"/>
  <c r="M9" i="8" s="1"/>
  <c r="N9" i="8" s="1"/>
  <c r="O9" i="8" s="1"/>
  <c r="L8" i="8"/>
  <c r="M8" i="8" s="1"/>
  <c r="N8" i="8" s="1"/>
  <c r="O8" i="8" s="1"/>
  <c r="L7" i="8"/>
  <c r="M7" i="8" s="1"/>
  <c r="N7" i="8" s="1"/>
  <c r="O7" i="8" s="1"/>
  <c r="L6" i="8"/>
  <c r="M6" i="8" s="1"/>
  <c r="N6" i="8" s="1"/>
  <c r="O6" i="8" s="1"/>
  <c r="L5" i="8"/>
  <c r="M5" i="8" s="1"/>
  <c r="N5" i="8" s="1"/>
  <c r="O5" i="8" s="1"/>
  <c r="L4" i="8"/>
  <c r="M4" i="8" s="1"/>
  <c r="N4" i="8" s="1"/>
  <c r="O4" i="8" s="1"/>
  <c r="M3" i="8"/>
  <c r="N3" i="8" s="1"/>
  <c r="O3" i="8" s="1"/>
  <c r="L3" i="8"/>
  <c r="L2" i="8"/>
  <c r="M2" i="8" s="1"/>
  <c r="N2" i="8" s="1"/>
  <c r="O2" i="8" s="1"/>
  <c r="L30" i="7"/>
  <c r="M30" i="7" s="1"/>
  <c r="N30" i="7" s="1"/>
  <c r="O30" i="7" s="1"/>
  <c r="L29" i="7"/>
  <c r="M29" i="7" s="1"/>
  <c r="N29" i="7" s="1"/>
  <c r="O29" i="7" s="1"/>
  <c r="L28" i="7"/>
  <c r="M28" i="7" s="1"/>
  <c r="N28" i="7" s="1"/>
  <c r="O28" i="7" s="1"/>
  <c r="M27" i="7"/>
  <c r="N27" i="7" s="1"/>
  <c r="O27" i="7" s="1"/>
  <c r="L27" i="7"/>
  <c r="L26" i="7"/>
  <c r="M26" i="7" s="1"/>
  <c r="N26" i="7" s="1"/>
  <c r="O26" i="7" s="1"/>
  <c r="L25" i="7"/>
  <c r="M25" i="7" s="1"/>
  <c r="N25" i="7" s="1"/>
  <c r="O25" i="7" s="1"/>
  <c r="L24" i="7"/>
  <c r="M24" i="7" s="1"/>
  <c r="N24" i="7" s="1"/>
  <c r="O24" i="7" s="1"/>
  <c r="L23" i="7"/>
  <c r="M23" i="7" s="1"/>
  <c r="N23" i="7" s="1"/>
  <c r="O23" i="7" s="1"/>
  <c r="L22" i="7"/>
  <c r="M22" i="7" s="1"/>
  <c r="N22" i="7" s="1"/>
  <c r="O22" i="7" s="1"/>
  <c r="L21" i="7"/>
  <c r="M21" i="7" s="1"/>
  <c r="N21" i="7" s="1"/>
  <c r="O21" i="7" s="1"/>
  <c r="M20" i="7"/>
  <c r="N20" i="7" s="1"/>
  <c r="O20" i="7" s="1"/>
  <c r="L20" i="7"/>
  <c r="L19" i="7"/>
  <c r="M19" i="7" s="1"/>
  <c r="N19" i="7" s="1"/>
  <c r="O19" i="7" s="1"/>
  <c r="L18" i="7"/>
  <c r="M18" i="7" s="1"/>
  <c r="N18" i="7" s="1"/>
  <c r="O18" i="7" s="1"/>
  <c r="L17" i="7"/>
  <c r="M17" i="7" s="1"/>
  <c r="N17" i="7" s="1"/>
  <c r="O17" i="7" s="1"/>
  <c r="L16" i="7"/>
  <c r="M16" i="7" s="1"/>
  <c r="N16" i="7" s="1"/>
  <c r="O16" i="7" s="1"/>
  <c r="L15" i="7"/>
  <c r="M15" i="7" s="1"/>
  <c r="N15" i="7" s="1"/>
  <c r="O15" i="7" s="1"/>
  <c r="L14" i="7"/>
  <c r="M14" i="7" s="1"/>
  <c r="N14" i="7" s="1"/>
  <c r="O14" i="7" s="1"/>
  <c r="M13" i="7"/>
  <c r="N13" i="7" s="1"/>
  <c r="O13" i="7" s="1"/>
  <c r="L13" i="7"/>
  <c r="L12" i="7"/>
  <c r="M12" i="7" s="1"/>
  <c r="N12" i="7" s="1"/>
  <c r="O12" i="7" s="1"/>
  <c r="L11" i="7"/>
  <c r="M11" i="7" s="1"/>
  <c r="N11" i="7" s="1"/>
  <c r="O11" i="7" s="1"/>
  <c r="L10" i="7"/>
  <c r="M10" i="7" s="1"/>
  <c r="N10" i="7" s="1"/>
  <c r="O10" i="7" s="1"/>
  <c r="L9" i="7"/>
  <c r="M9" i="7" s="1"/>
  <c r="N9" i="7" s="1"/>
  <c r="O9" i="7" s="1"/>
  <c r="L8" i="7"/>
  <c r="M8" i="7" s="1"/>
  <c r="N8" i="7" s="1"/>
  <c r="O8" i="7" s="1"/>
  <c r="L7" i="7"/>
  <c r="M7" i="7" s="1"/>
  <c r="N7" i="7" s="1"/>
  <c r="O7" i="7" s="1"/>
  <c r="M6" i="7"/>
  <c r="N6" i="7" s="1"/>
  <c r="O6" i="7" s="1"/>
  <c r="L6" i="7"/>
  <c r="L5" i="7"/>
  <c r="M5" i="7" s="1"/>
  <c r="N5" i="7" s="1"/>
  <c r="O5" i="7" s="1"/>
  <c r="L4" i="7"/>
  <c r="M4" i="7" s="1"/>
  <c r="N4" i="7" s="1"/>
  <c r="O4" i="7" s="1"/>
  <c r="L3" i="7"/>
  <c r="M3" i="7" s="1"/>
  <c r="N3" i="7" s="1"/>
  <c r="O3" i="7" s="1"/>
  <c r="L2" i="7"/>
  <c r="M2" i="7" s="1"/>
  <c r="N2" i="7" s="1"/>
  <c r="O2" i="7" s="1"/>
  <c r="L27" i="5"/>
  <c r="M27" i="5" s="1"/>
  <c r="N27" i="5" s="1"/>
  <c r="O27" i="5" s="1"/>
  <c r="L26" i="5"/>
  <c r="M26" i="5" s="1"/>
  <c r="N26" i="5" s="1"/>
  <c r="O26" i="5" s="1"/>
  <c r="L25" i="5"/>
  <c r="M25" i="5" s="1"/>
  <c r="N25" i="5" s="1"/>
  <c r="O25" i="5" s="1"/>
  <c r="L20" i="5"/>
  <c r="M20" i="5" s="1"/>
  <c r="N20" i="5" s="1"/>
  <c r="O20" i="5" s="1"/>
  <c r="L14" i="5"/>
  <c r="M14" i="5" s="1"/>
  <c r="N14" i="5" s="1"/>
  <c r="O14" i="5" s="1"/>
  <c r="L13" i="5"/>
  <c r="M13" i="5" s="1"/>
  <c r="N13" i="5" s="1"/>
  <c r="O13" i="5" s="1"/>
  <c r="L12" i="5"/>
  <c r="M12" i="5" s="1"/>
  <c r="N12" i="5" s="1"/>
  <c r="O12" i="5" s="1"/>
  <c r="L11" i="5"/>
  <c r="M11" i="5" s="1"/>
  <c r="N11" i="5" s="1"/>
  <c r="O11" i="5" s="1"/>
  <c r="L10" i="5"/>
  <c r="M10" i="5" s="1"/>
  <c r="N10" i="5" s="1"/>
  <c r="O10" i="5" s="1"/>
  <c r="L9" i="5"/>
  <c r="M9" i="5" s="1"/>
  <c r="N9" i="5" s="1"/>
  <c r="O9" i="5" s="1"/>
  <c r="L8" i="5"/>
  <c r="M8" i="5" s="1"/>
  <c r="N8" i="5" s="1"/>
  <c r="O8" i="5" s="1"/>
  <c r="L6" i="5"/>
  <c r="M6" i="5" s="1"/>
  <c r="N6" i="5" s="1"/>
  <c r="O6" i="5" s="1"/>
  <c r="L34" i="6"/>
  <c r="M34" i="6" s="1"/>
  <c r="N34" i="6" s="1"/>
  <c r="O34" i="6" s="1"/>
  <c r="L30" i="6"/>
  <c r="M30" i="6" s="1"/>
  <c r="N30" i="6" s="1"/>
  <c r="O30" i="6" s="1"/>
  <c r="L29" i="6"/>
  <c r="M29" i="6" s="1"/>
  <c r="N29" i="6" s="1"/>
  <c r="O29" i="6" s="1"/>
  <c r="L24" i="6"/>
  <c r="M24" i="6" s="1"/>
  <c r="N24" i="6" s="1"/>
  <c r="O24" i="6" s="1"/>
  <c r="L23" i="6"/>
  <c r="M23" i="6" s="1"/>
  <c r="N23" i="6" s="1"/>
  <c r="O23" i="6" s="1"/>
  <c r="L22" i="6"/>
  <c r="M22" i="6" s="1"/>
  <c r="N22" i="6" s="1"/>
  <c r="O22" i="6" s="1"/>
  <c r="L21" i="6"/>
  <c r="M21" i="6" s="1"/>
  <c r="N21" i="6" s="1"/>
  <c r="O21" i="6" s="1"/>
  <c r="L20" i="6"/>
  <c r="M20" i="6" s="1"/>
  <c r="N20" i="6" s="1"/>
  <c r="O20" i="6" s="1"/>
  <c r="L19" i="6"/>
  <c r="M19" i="6" s="1"/>
  <c r="N19" i="6" s="1"/>
  <c r="O19" i="6" s="1"/>
  <c r="L18" i="6"/>
  <c r="M18" i="6" s="1"/>
  <c r="N18" i="6" s="1"/>
  <c r="O18" i="6" s="1"/>
  <c r="L17" i="6"/>
  <c r="M17" i="6" s="1"/>
  <c r="N17" i="6" s="1"/>
  <c r="O17" i="6" s="1"/>
  <c r="L16" i="6"/>
  <c r="M16" i="6" s="1"/>
  <c r="N16" i="6" s="1"/>
  <c r="O16" i="6" s="1"/>
  <c r="L9" i="6"/>
  <c r="M9" i="6" s="1"/>
  <c r="N9" i="6" s="1"/>
  <c r="O9" i="6" s="1"/>
  <c r="L8" i="6"/>
  <c r="M8" i="6" s="1"/>
  <c r="N8" i="6" s="1"/>
  <c r="O8" i="6" s="1"/>
  <c r="L7" i="6"/>
  <c r="M7" i="6" s="1"/>
  <c r="N7" i="6" s="1"/>
  <c r="O7" i="6" s="1"/>
  <c r="L5" i="6"/>
  <c r="M5" i="6" s="1"/>
  <c r="N5" i="6" s="1"/>
  <c r="O5" i="6" s="1"/>
  <c r="L4" i="6"/>
  <c r="M4" i="6" s="1"/>
  <c r="N4" i="6" s="1"/>
  <c r="O4" i="6" s="1"/>
  <c r="L2" i="6"/>
  <c r="M2" i="6" s="1"/>
  <c r="N2" i="6" s="1"/>
  <c r="O2" i="6" s="1"/>
  <c r="L10" i="4"/>
  <c r="M10" i="4" s="1"/>
  <c r="N10" i="4" s="1"/>
  <c r="O10" i="4" s="1"/>
  <c r="L11" i="4"/>
  <c r="M11" i="4" s="1"/>
  <c r="N11" i="4" s="1"/>
  <c r="O11" i="4" s="1"/>
  <c r="L22" i="4"/>
  <c r="M22" i="4" s="1"/>
  <c r="N22" i="4" s="1"/>
  <c r="O22" i="4" s="1"/>
  <c r="L23" i="4"/>
  <c r="M23" i="4" s="1"/>
  <c r="N23" i="4" s="1"/>
  <c r="O23" i="4" s="1"/>
  <c r="L24" i="4"/>
  <c r="M24" i="4" s="1"/>
  <c r="N24" i="4" s="1"/>
  <c r="O24" i="4" s="1"/>
  <c r="L25" i="4"/>
  <c r="M25" i="4" s="1"/>
  <c r="N25" i="4" s="1"/>
  <c r="O25" i="4" s="1"/>
  <c r="L26" i="4"/>
  <c r="M26" i="4" s="1"/>
  <c r="N26" i="4" s="1"/>
  <c r="O26" i="4" s="1"/>
  <c r="L27" i="4"/>
  <c r="M27" i="4" s="1"/>
  <c r="N27" i="4" s="1"/>
  <c r="O27" i="4" s="1"/>
  <c r="L28" i="4"/>
  <c r="M28" i="4" s="1"/>
  <c r="N28" i="4" s="1"/>
  <c r="O28" i="4" s="1"/>
  <c r="L29" i="4"/>
  <c r="M29" i="4" s="1"/>
  <c r="N29" i="4" s="1"/>
  <c r="O29" i="4" s="1"/>
  <c r="I34" i="6"/>
  <c r="F34" i="6"/>
  <c r="G34" i="6" s="1"/>
  <c r="H34" i="6" s="1"/>
  <c r="J34" i="6" s="1"/>
  <c r="I32" i="23"/>
  <c r="F32" i="23"/>
  <c r="G32" i="23" s="1"/>
  <c r="H32" i="23" s="1"/>
  <c r="J32" i="23" s="1"/>
  <c r="I31" i="23"/>
  <c r="F31" i="23"/>
  <c r="G31" i="23" s="1"/>
  <c r="H31" i="23" s="1"/>
  <c r="I30" i="23"/>
  <c r="F30" i="23"/>
  <c r="G30" i="23" s="1"/>
  <c r="H30" i="23" s="1"/>
  <c r="J30" i="23" s="1"/>
  <c r="I29" i="23"/>
  <c r="F29" i="23"/>
  <c r="G29" i="23" s="1"/>
  <c r="H29" i="23" s="1"/>
  <c r="J29" i="23" s="1"/>
  <c r="I28" i="23"/>
  <c r="F28" i="23"/>
  <c r="G28" i="23" s="1"/>
  <c r="H28" i="23" s="1"/>
  <c r="J28" i="23" s="1"/>
  <c r="I27" i="23"/>
  <c r="F27" i="23"/>
  <c r="G27" i="23" s="1"/>
  <c r="H27" i="23" s="1"/>
  <c r="J27" i="23" s="1"/>
  <c r="I26" i="23"/>
  <c r="F26" i="23"/>
  <c r="G26" i="23" s="1"/>
  <c r="H26" i="23" s="1"/>
  <c r="J26" i="23" s="1"/>
  <c r="I25" i="23"/>
  <c r="F25" i="23"/>
  <c r="G25" i="23" s="1"/>
  <c r="H25" i="23" s="1"/>
  <c r="J25" i="23" s="1"/>
  <c r="I24" i="23"/>
  <c r="F24" i="23"/>
  <c r="G24" i="23" s="1"/>
  <c r="H24" i="23" s="1"/>
  <c r="J24" i="23" s="1"/>
  <c r="I23" i="23"/>
  <c r="F23" i="23"/>
  <c r="G23" i="23" s="1"/>
  <c r="H23" i="23" s="1"/>
  <c r="I22" i="23"/>
  <c r="F22" i="23"/>
  <c r="G22" i="23" s="1"/>
  <c r="H22" i="23" s="1"/>
  <c r="I21" i="23"/>
  <c r="F21" i="23"/>
  <c r="G21" i="23" s="1"/>
  <c r="H21" i="23" s="1"/>
  <c r="J21" i="23" s="1"/>
  <c r="I20" i="23"/>
  <c r="F20" i="23"/>
  <c r="G20" i="23" s="1"/>
  <c r="H20" i="23" s="1"/>
  <c r="J20" i="23" s="1"/>
  <c r="I19" i="23"/>
  <c r="F19" i="23"/>
  <c r="G19" i="23" s="1"/>
  <c r="H19" i="23" s="1"/>
  <c r="J19" i="23" s="1"/>
  <c r="I18" i="23"/>
  <c r="F18" i="23"/>
  <c r="G18" i="23" s="1"/>
  <c r="H18" i="23" s="1"/>
  <c r="J18" i="23" s="1"/>
  <c r="I17" i="23"/>
  <c r="F17" i="23"/>
  <c r="G17" i="23" s="1"/>
  <c r="H17" i="23" s="1"/>
  <c r="J17" i="23" s="1"/>
  <c r="I16" i="23"/>
  <c r="F16" i="23"/>
  <c r="G16" i="23" s="1"/>
  <c r="H16" i="23" s="1"/>
  <c r="J16" i="23" s="1"/>
  <c r="I15" i="23"/>
  <c r="F15" i="23"/>
  <c r="G15" i="23" s="1"/>
  <c r="H15" i="23" s="1"/>
  <c r="J15" i="23" s="1"/>
  <c r="I14" i="23"/>
  <c r="F14" i="23"/>
  <c r="G14" i="23" s="1"/>
  <c r="H14" i="23" s="1"/>
  <c r="J14" i="23" s="1"/>
  <c r="I13" i="23"/>
  <c r="F13" i="23"/>
  <c r="G13" i="23" s="1"/>
  <c r="H13" i="23" s="1"/>
  <c r="J13" i="23" s="1"/>
  <c r="I12" i="23"/>
  <c r="F12" i="23"/>
  <c r="G12" i="23" s="1"/>
  <c r="H12" i="23" s="1"/>
  <c r="J12" i="23" s="1"/>
  <c r="I11" i="23"/>
  <c r="F11" i="23"/>
  <c r="G11" i="23" s="1"/>
  <c r="H11" i="23" s="1"/>
  <c r="J11" i="23" s="1"/>
  <c r="I10" i="23"/>
  <c r="F10" i="23"/>
  <c r="G10" i="23" s="1"/>
  <c r="H10" i="23" s="1"/>
  <c r="J10" i="23" s="1"/>
  <c r="I9" i="23"/>
  <c r="F9" i="23"/>
  <c r="G9" i="23" s="1"/>
  <c r="H9" i="23" s="1"/>
  <c r="J9" i="23" s="1"/>
  <c r="I8" i="23"/>
  <c r="F8" i="23"/>
  <c r="G8" i="23" s="1"/>
  <c r="H8" i="23" s="1"/>
  <c r="J8" i="23" s="1"/>
  <c r="I7" i="23"/>
  <c r="F7" i="23"/>
  <c r="G7" i="23" s="1"/>
  <c r="H7" i="23" s="1"/>
  <c r="J7" i="23" s="1"/>
  <c r="I6" i="23"/>
  <c r="F6" i="23"/>
  <c r="G6" i="23" s="1"/>
  <c r="H6" i="23" s="1"/>
  <c r="J6" i="23" s="1"/>
  <c r="I5" i="23"/>
  <c r="F5" i="23"/>
  <c r="G5" i="23" s="1"/>
  <c r="H5" i="23" s="1"/>
  <c r="J5" i="23" s="1"/>
  <c r="I4" i="23"/>
  <c r="F4" i="23"/>
  <c r="G4" i="23" s="1"/>
  <c r="H4" i="23" s="1"/>
  <c r="J4" i="23" s="1"/>
  <c r="I3" i="23"/>
  <c r="F3" i="23"/>
  <c r="G3" i="23" s="1"/>
  <c r="I2" i="23"/>
  <c r="F2" i="23"/>
  <c r="G2" i="23" s="1"/>
  <c r="I27" i="22"/>
  <c r="F27" i="22"/>
  <c r="G27" i="22" s="1"/>
  <c r="H27" i="22" s="1"/>
  <c r="J27" i="22" s="1"/>
  <c r="I26" i="22"/>
  <c r="F26" i="22"/>
  <c r="G26" i="22" s="1"/>
  <c r="H26" i="22" s="1"/>
  <c r="J26" i="22" s="1"/>
  <c r="I25" i="22"/>
  <c r="F25" i="22"/>
  <c r="G25" i="22" s="1"/>
  <c r="H25" i="22" s="1"/>
  <c r="J25" i="22" s="1"/>
  <c r="I24" i="22"/>
  <c r="F24" i="22"/>
  <c r="G24" i="22" s="1"/>
  <c r="H24" i="22" s="1"/>
  <c r="J24" i="22" s="1"/>
  <c r="I23" i="22"/>
  <c r="F23" i="22"/>
  <c r="G23" i="22" s="1"/>
  <c r="H23" i="22" s="1"/>
  <c r="J23" i="22" s="1"/>
  <c r="I22" i="22"/>
  <c r="F22" i="22"/>
  <c r="G22" i="22" s="1"/>
  <c r="H22" i="22" s="1"/>
  <c r="J22" i="22" s="1"/>
  <c r="I21" i="22"/>
  <c r="F21" i="22"/>
  <c r="G21" i="22" s="1"/>
  <c r="H21" i="22" s="1"/>
  <c r="J21" i="22" s="1"/>
  <c r="I20" i="22"/>
  <c r="F20" i="22"/>
  <c r="G20" i="22" s="1"/>
  <c r="H20" i="22" s="1"/>
  <c r="I19" i="22"/>
  <c r="F19" i="22"/>
  <c r="G19" i="22" s="1"/>
  <c r="H19" i="22" s="1"/>
  <c r="J19" i="22" s="1"/>
  <c r="I18" i="22"/>
  <c r="F18" i="22"/>
  <c r="G18" i="22" s="1"/>
  <c r="H18" i="22" s="1"/>
  <c r="J18" i="22" s="1"/>
  <c r="I17" i="22"/>
  <c r="F17" i="22"/>
  <c r="G17" i="22" s="1"/>
  <c r="H17" i="22" s="1"/>
  <c r="J17" i="22" s="1"/>
  <c r="I16" i="22"/>
  <c r="F16" i="22"/>
  <c r="G16" i="22" s="1"/>
  <c r="H16" i="22" s="1"/>
  <c r="J16" i="22" s="1"/>
  <c r="I15" i="22"/>
  <c r="F15" i="22"/>
  <c r="G15" i="22" s="1"/>
  <c r="H15" i="22" s="1"/>
  <c r="J15" i="22" s="1"/>
  <c r="I14" i="22"/>
  <c r="F14" i="22"/>
  <c r="G14" i="22" s="1"/>
  <c r="H14" i="22" s="1"/>
  <c r="J14" i="22" s="1"/>
  <c r="I13" i="22"/>
  <c r="F13" i="22"/>
  <c r="G13" i="22" s="1"/>
  <c r="H13" i="22" s="1"/>
  <c r="J13" i="22" s="1"/>
  <c r="I12" i="22"/>
  <c r="F12" i="22"/>
  <c r="G12" i="22" s="1"/>
  <c r="H12" i="22" s="1"/>
  <c r="J12" i="22" s="1"/>
  <c r="I11" i="22"/>
  <c r="F11" i="22"/>
  <c r="G11" i="22" s="1"/>
  <c r="H11" i="22" s="1"/>
  <c r="J11" i="22" s="1"/>
  <c r="I10" i="22"/>
  <c r="F10" i="22"/>
  <c r="G10" i="22" s="1"/>
  <c r="H10" i="22" s="1"/>
  <c r="J10" i="22" s="1"/>
  <c r="I9" i="22"/>
  <c r="F9" i="22"/>
  <c r="G9" i="22" s="1"/>
  <c r="H9" i="22" s="1"/>
  <c r="J9" i="22" s="1"/>
  <c r="I8" i="22"/>
  <c r="F8" i="22"/>
  <c r="G8" i="22" s="1"/>
  <c r="H8" i="22" s="1"/>
  <c r="J8" i="22" s="1"/>
  <c r="I7" i="22"/>
  <c r="F7" i="22"/>
  <c r="G7" i="22" s="1"/>
  <c r="H7" i="22" s="1"/>
  <c r="J7" i="22" s="1"/>
  <c r="I6" i="22"/>
  <c r="F6" i="22"/>
  <c r="G6" i="22" s="1"/>
  <c r="H6" i="22" s="1"/>
  <c r="I5" i="22"/>
  <c r="F5" i="22"/>
  <c r="G5" i="22" s="1"/>
  <c r="H5" i="22" s="1"/>
  <c r="J5" i="22" s="1"/>
  <c r="I4" i="22"/>
  <c r="F4" i="22"/>
  <c r="G4" i="22" s="1"/>
  <c r="H4" i="22" s="1"/>
  <c r="J4" i="22" s="1"/>
  <c r="I3" i="22"/>
  <c r="F3" i="22"/>
  <c r="G3" i="22" s="1"/>
  <c r="I2" i="22"/>
  <c r="F2" i="22"/>
  <c r="G2" i="22" s="1"/>
  <c r="I33" i="21"/>
  <c r="F33" i="21"/>
  <c r="G33" i="21" s="1"/>
  <c r="H33" i="21" s="1"/>
  <c r="J33" i="21" s="1"/>
  <c r="I32" i="21"/>
  <c r="F32" i="21"/>
  <c r="G32" i="21" s="1"/>
  <c r="H32" i="21" s="1"/>
  <c r="I31" i="21"/>
  <c r="F31" i="21"/>
  <c r="G31" i="21" s="1"/>
  <c r="H31" i="21" s="1"/>
  <c r="J31" i="21" s="1"/>
  <c r="I30" i="21"/>
  <c r="F30" i="21"/>
  <c r="G30" i="21" s="1"/>
  <c r="H30" i="21" s="1"/>
  <c r="J30" i="21" s="1"/>
  <c r="I29" i="21"/>
  <c r="F29" i="21"/>
  <c r="G29" i="21" s="1"/>
  <c r="H29" i="21" s="1"/>
  <c r="I28" i="21"/>
  <c r="F28" i="21"/>
  <c r="G28" i="21" s="1"/>
  <c r="H28" i="21" s="1"/>
  <c r="J28" i="21" s="1"/>
  <c r="I27" i="21"/>
  <c r="F27" i="21"/>
  <c r="G27" i="21" s="1"/>
  <c r="H27" i="21" s="1"/>
  <c r="J27" i="21" s="1"/>
  <c r="I26" i="21"/>
  <c r="F26" i="21"/>
  <c r="G26" i="21" s="1"/>
  <c r="H26" i="21" s="1"/>
  <c r="J26" i="21" s="1"/>
  <c r="I25" i="21"/>
  <c r="F25" i="21"/>
  <c r="G25" i="21" s="1"/>
  <c r="H25" i="21" s="1"/>
  <c r="J25" i="21" s="1"/>
  <c r="I24" i="21"/>
  <c r="F24" i="21"/>
  <c r="G24" i="21" s="1"/>
  <c r="H24" i="21" s="1"/>
  <c r="J24" i="21" s="1"/>
  <c r="I23" i="21"/>
  <c r="F23" i="21"/>
  <c r="G23" i="21" s="1"/>
  <c r="H23" i="21" s="1"/>
  <c r="I22" i="21"/>
  <c r="F22" i="21"/>
  <c r="G22" i="21" s="1"/>
  <c r="H22" i="21" s="1"/>
  <c r="J22" i="21" s="1"/>
  <c r="I21" i="21"/>
  <c r="F21" i="21"/>
  <c r="G21" i="21" s="1"/>
  <c r="H21" i="21" s="1"/>
  <c r="J21" i="21" s="1"/>
  <c r="I20" i="21"/>
  <c r="F20" i="21"/>
  <c r="G20" i="21" s="1"/>
  <c r="H20" i="21" s="1"/>
  <c r="J20" i="21" s="1"/>
  <c r="I19" i="21"/>
  <c r="F19" i="21"/>
  <c r="G19" i="21" s="1"/>
  <c r="H19" i="21" s="1"/>
  <c r="J19" i="21" s="1"/>
  <c r="I18" i="21"/>
  <c r="F18" i="21"/>
  <c r="G18" i="21" s="1"/>
  <c r="H18" i="21" s="1"/>
  <c r="J18" i="21" s="1"/>
  <c r="I17" i="21"/>
  <c r="F17" i="21"/>
  <c r="G17" i="21" s="1"/>
  <c r="H17" i="21" s="1"/>
  <c r="J17" i="21" s="1"/>
  <c r="I16" i="21"/>
  <c r="F16" i="21"/>
  <c r="G16" i="21" s="1"/>
  <c r="H16" i="21" s="1"/>
  <c r="J16" i="21" s="1"/>
  <c r="I15" i="21"/>
  <c r="F15" i="21"/>
  <c r="G15" i="21" s="1"/>
  <c r="H15" i="21" s="1"/>
  <c r="J15" i="21" s="1"/>
  <c r="I14" i="21"/>
  <c r="F14" i="21"/>
  <c r="G14" i="21" s="1"/>
  <c r="H14" i="21" s="1"/>
  <c r="J14" i="21" s="1"/>
  <c r="I13" i="21"/>
  <c r="F13" i="21"/>
  <c r="G13" i="21" s="1"/>
  <c r="H13" i="21" s="1"/>
  <c r="J13" i="21" s="1"/>
  <c r="I12" i="21"/>
  <c r="F12" i="21"/>
  <c r="G12" i="21" s="1"/>
  <c r="H12" i="21" s="1"/>
  <c r="J12" i="21" s="1"/>
  <c r="I11" i="21"/>
  <c r="F11" i="21"/>
  <c r="G11" i="21" s="1"/>
  <c r="H11" i="21" s="1"/>
  <c r="I10" i="21"/>
  <c r="F10" i="21"/>
  <c r="G10" i="21" s="1"/>
  <c r="H10" i="21" s="1"/>
  <c r="J10" i="21" s="1"/>
  <c r="I9" i="21"/>
  <c r="F9" i="21"/>
  <c r="G9" i="21" s="1"/>
  <c r="H9" i="21" s="1"/>
  <c r="J9" i="21" s="1"/>
  <c r="I8" i="21"/>
  <c r="F8" i="21"/>
  <c r="G8" i="21" s="1"/>
  <c r="H8" i="21" s="1"/>
  <c r="J8" i="21" s="1"/>
  <c r="I7" i="21"/>
  <c r="F7" i="21"/>
  <c r="G7" i="21" s="1"/>
  <c r="H7" i="21" s="1"/>
  <c r="J7" i="21" s="1"/>
  <c r="I6" i="21"/>
  <c r="F6" i="21"/>
  <c r="G6" i="21" s="1"/>
  <c r="H6" i="21" s="1"/>
  <c r="J6" i="21" s="1"/>
  <c r="I5" i="21"/>
  <c r="F5" i="21"/>
  <c r="G5" i="21" s="1"/>
  <c r="H5" i="21" s="1"/>
  <c r="J5" i="21" s="1"/>
  <c r="I4" i="21"/>
  <c r="F4" i="21"/>
  <c r="G4" i="21" s="1"/>
  <c r="H4" i="21" s="1"/>
  <c r="J4" i="21" s="1"/>
  <c r="I3" i="21"/>
  <c r="F3" i="21"/>
  <c r="G3" i="21" s="1"/>
  <c r="I2" i="21"/>
  <c r="F2" i="21"/>
  <c r="G2" i="21" s="1"/>
  <c r="I29" i="20"/>
  <c r="F29" i="20"/>
  <c r="G29" i="20" s="1"/>
  <c r="H29" i="20" s="1"/>
  <c r="J29" i="20" s="1"/>
  <c r="I28" i="20"/>
  <c r="F28" i="20"/>
  <c r="G28" i="20" s="1"/>
  <c r="H28" i="20" s="1"/>
  <c r="J28" i="20" s="1"/>
  <c r="I27" i="20"/>
  <c r="F27" i="20"/>
  <c r="G27" i="20" s="1"/>
  <c r="H27" i="20" s="1"/>
  <c r="J27" i="20" s="1"/>
  <c r="I26" i="20"/>
  <c r="F26" i="20"/>
  <c r="G26" i="20" s="1"/>
  <c r="H26" i="20" s="1"/>
  <c r="J26" i="20" s="1"/>
  <c r="I25" i="20"/>
  <c r="F25" i="20"/>
  <c r="G25" i="20" s="1"/>
  <c r="H25" i="20" s="1"/>
  <c r="J25" i="20" s="1"/>
  <c r="I24" i="20"/>
  <c r="F24" i="20"/>
  <c r="G24" i="20" s="1"/>
  <c r="H24" i="20" s="1"/>
  <c r="J24" i="20" s="1"/>
  <c r="I23" i="20"/>
  <c r="F23" i="20"/>
  <c r="G23" i="20" s="1"/>
  <c r="H23" i="20" s="1"/>
  <c r="J23" i="20" s="1"/>
  <c r="I22" i="20"/>
  <c r="F22" i="20"/>
  <c r="G22" i="20" s="1"/>
  <c r="H22" i="20" s="1"/>
  <c r="J22" i="20" s="1"/>
  <c r="I21" i="20"/>
  <c r="F21" i="20"/>
  <c r="G21" i="20" s="1"/>
  <c r="H21" i="20" s="1"/>
  <c r="J21" i="20" s="1"/>
  <c r="I20" i="20"/>
  <c r="F20" i="20"/>
  <c r="G20" i="20" s="1"/>
  <c r="H20" i="20" s="1"/>
  <c r="J20" i="20" s="1"/>
  <c r="I19" i="20"/>
  <c r="F19" i="20"/>
  <c r="G19" i="20" s="1"/>
  <c r="H19" i="20" s="1"/>
  <c r="J19" i="20" s="1"/>
  <c r="I18" i="20"/>
  <c r="F18" i="20"/>
  <c r="G18" i="20" s="1"/>
  <c r="H18" i="20" s="1"/>
  <c r="J18" i="20" s="1"/>
  <c r="I17" i="20"/>
  <c r="F17" i="20"/>
  <c r="G17" i="20" s="1"/>
  <c r="H17" i="20" s="1"/>
  <c r="I16" i="20"/>
  <c r="F16" i="20"/>
  <c r="G16" i="20" s="1"/>
  <c r="H16" i="20" s="1"/>
  <c r="J16" i="20" s="1"/>
  <c r="I15" i="20"/>
  <c r="F15" i="20"/>
  <c r="G15" i="20" s="1"/>
  <c r="H15" i="20" s="1"/>
  <c r="J15" i="20" s="1"/>
  <c r="I14" i="20"/>
  <c r="F14" i="20"/>
  <c r="G14" i="20" s="1"/>
  <c r="H14" i="20" s="1"/>
  <c r="J14" i="20" s="1"/>
  <c r="I13" i="20"/>
  <c r="F13" i="20"/>
  <c r="G13" i="20" s="1"/>
  <c r="H13" i="20" s="1"/>
  <c r="J13" i="20" s="1"/>
  <c r="I12" i="20"/>
  <c r="F12" i="20"/>
  <c r="G12" i="20" s="1"/>
  <c r="H12" i="20" s="1"/>
  <c r="J12" i="20" s="1"/>
  <c r="I11" i="20"/>
  <c r="F11" i="20"/>
  <c r="G11" i="20" s="1"/>
  <c r="H11" i="20" s="1"/>
  <c r="J11" i="20" s="1"/>
  <c r="I10" i="20"/>
  <c r="F10" i="20"/>
  <c r="G10" i="20" s="1"/>
  <c r="I9" i="20"/>
  <c r="F9" i="20"/>
  <c r="G9" i="20" s="1"/>
  <c r="H9" i="20" s="1"/>
  <c r="J9" i="20" s="1"/>
  <c r="I8" i="20"/>
  <c r="F8" i="20"/>
  <c r="G8" i="20" s="1"/>
  <c r="H8" i="20" s="1"/>
  <c r="J8" i="20" s="1"/>
  <c r="I7" i="20"/>
  <c r="F7" i="20"/>
  <c r="G7" i="20" s="1"/>
  <c r="H7" i="20" s="1"/>
  <c r="J7" i="20" s="1"/>
  <c r="I6" i="20"/>
  <c r="F6" i="20"/>
  <c r="G6" i="20" s="1"/>
  <c r="H6" i="20" s="1"/>
  <c r="J6" i="20" s="1"/>
  <c r="I5" i="20"/>
  <c r="F5" i="20"/>
  <c r="G5" i="20" s="1"/>
  <c r="H5" i="20" s="1"/>
  <c r="J5" i="20" s="1"/>
  <c r="I4" i="20"/>
  <c r="F4" i="20"/>
  <c r="G4" i="20" s="1"/>
  <c r="H4" i="20" s="1"/>
  <c r="J4" i="20" s="1"/>
  <c r="I3" i="20"/>
  <c r="F3" i="20"/>
  <c r="G3" i="20" s="1"/>
  <c r="H3" i="20" s="1"/>
  <c r="J3" i="20" s="1"/>
  <c r="I2" i="20"/>
  <c r="F2" i="20"/>
  <c r="G2" i="20" s="1"/>
  <c r="I21" i="19"/>
  <c r="F21" i="19"/>
  <c r="G21" i="19" s="1"/>
  <c r="H21" i="19" s="1"/>
  <c r="J21" i="19" s="1"/>
  <c r="I20" i="19"/>
  <c r="F20" i="19"/>
  <c r="G20" i="19" s="1"/>
  <c r="H20" i="19" s="1"/>
  <c r="J20" i="19" s="1"/>
  <c r="I19" i="19"/>
  <c r="F19" i="19"/>
  <c r="G19" i="19" s="1"/>
  <c r="H19" i="19" s="1"/>
  <c r="J19" i="19" s="1"/>
  <c r="I18" i="19"/>
  <c r="F18" i="19"/>
  <c r="G18" i="19" s="1"/>
  <c r="H18" i="19" s="1"/>
  <c r="J18" i="19" s="1"/>
  <c r="I17" i="19"/>
  <c r="F17" i="19"/>
  <c r="G17" i="19" s="1"/>
  <c r="H17" i="19" s="1"/>
  <c r="J17" i="19" s="1"/>
  <c r="I16" i="19"/>
  <c r="F16" i="19"/>
  <c r="G16" i="19" s="1"/>
  <c r="H16" i="19" s="1"/>
  <c r="J16" i="19" s="1"/>
  <c r="I15" i="19"/>
  <c r="F15" i="19"/>
  <c r="G15" i="19" s="1"/>
  <c r="H15" i="19" s="1"/>
  <c r="J15" i="19" s="1"/>
  <c r="I14" i="19"/>
  <c r="F14" i="19"/>
  <c r="G14" i="19" s="1"/>
  <c r="H14" i="19" s="1"/>
  <c r="J14" i="19" s="1"/>
  <c r="I13" i="19"/>
  <c r="F13" i="19"/>
  <c r="G13" i="19" s="1"/>
  <c r="H13" i="19" s="1"/>
  <c r="J13" i="19" s="1"/>
  <c r="I12" i="19"/>
  <c r="F12" i="19"/>
  <c r="G12" i="19" s="1"/>
  <c r="H12" i="19" s="1"/>
  <c r="J12" i="19" s="1"/>
  <c r="I11" i="19"/>
  <c r="F11" i="19"/>
  <c r="G11" i="19" s="1"/>
  <c r="H11" i="19" s="1"/>
  <c r="J11" i="19" s="1"/>
  <c r="I10" i="19"/>
  <c r="F10" i="19"/>
  <c r="G10" i="19" s="1"/>
  <c r="H10" i="19" s="1"/>
  <c r="J10" i="19" s="1"/>
  <c r="I9" i="19"/>
  <c r="F9" i="19"/>
  <c r="G9" i="19" s="1"/>
  <c r="H9" i="19" s="1"/>
  <c r="J9" i="19" s="1"/>
  <c r="I8" i="19"/>
  <c r="F8" i="19"/>
  <c r="G8" i="19" s="1"/>
  <c r="H8" i="19" s="1"/>
  <c r="J8" i="19" s="1"/>
  <c r="I7" i="19"/>
  <c r="F7" i="19"/>
  <c r="G7" i="19" s="1"/>
  <c r="H7" i="19" s="1"/>
  <c r="J7" i="19" s="1"/>
  <c r="I6" i="19"/>
  <c r="F6" i="19"/>
  <c r="G6" i="19" s="1"/>
  <c r="H6" i="19" s="1"/>
  <c r="J6" i="19" s="1"/>
  <c r="I5" i="19"/>
  <c r="F5" i="19"/>
  <c r="G5" i="19" s="1"/>
  <c r="I4" i="19"/>
  <c r="F4" i="19"/>
  <c r="G4" i="19" s="1"/>
  <c r="H4" i="19" s="1"/>
  <c r="J4" i="19" s="1"/>
  <c r="I3" i="19"/>
  <c r="F3" i="19"/>
  <c r="G3" i="19" s="1"/>
  <c r="I2" i="19"/>
  <c r="F2" i="19"/>
  <c r="G2" i="19" s="1"/>
  <c r="I32" i="18"/>
  <c r="F32" i="18"/>
  <c r="G32" i="18" s="1"/>
  <c r="H32" i="18" s="1"/>
  <c r="J32" i="18" s="1"/>
  <c r="I31" i="18"/>
  <c r="F31" i="18"/>
  <c r="G31" i="18" s="1"/>
  <c r="H31" i="18" s="1"/>
  <c r="J31" i="18" s="1"/>
  <c r="I30" i="18"/>
  <c r="F30" i="18"/>
  <c r="G30" i="18" s="1"/>
  <c r="H30" i="18" s="1"/>
  <c r="I29" i="18"/>
  <c r="F29" i="18"/>
  <c r="G29" i="18" s="1"/>
  <c r="H29" i="18" s="1"/>
  <c r="J29" i="18" s="1"/>
  <c r="I28" i="18"/>
  <c r="F28" i="18"/>
  <c r="G28" i="18" s="1"/>
  <c r="H28" i="18" s="1"/>
  <c r="J28" i="18" s="1"/>
  <c r="I27" i="18"/>
  <c r="F27" i="18"/>
  <c r="G27" i="18" s="1"/>
  <c r="H27" i="18" s="1"/>
  <c r="J27" i="18" s="1"/>
  <c r="I26" i="18"/>
  <c r="F26" i="18"/>
  <c r="G26" i="18" s="1"/>
  <c r="H26" i="18" s="1"/>
  <c r="J26" i="18" s="1"/>
  <c r="I25" i="18"/>
  <c r="F25" i="18"/>
  <c r="G25" i="18" s="1"/>
  <c r="H25" i="18" s="1"/>
  <c r="J25" i="18" s="1"/>
  <c r="I24" i="18"/>
  <c r="F24" i="18"/>
  <c r="G24" i="18" s="1"/>
  <c r="H24" i="18" s="1"/>
  <c r="J24" i="18" s="1"/>
  <c r="I23" i="18"/>
  <c r="F23" i="18"/>
  <c r="G23" i="18" s="1"/>
  <c r="H23" i="18" s="1"/>
  <c r="J23" i="18" s="1"/>
  <c r="I22" i="18"/>
  <c r="F22" i="18"/>
  <c r="G22" i="18" s="1"/>
  <c r="H22" i="18" s="1"/>
  <c r="J22" i="18" s="1"/>
  <c r="I21" i="18"/>
  <c r="F21" i="18"/>
  <c r="G21" i="18" s="1"/>
  <c r="H21" i="18" s="1"/>
  <c r="J21" i="18" s="1"/>
  <c r="I20" i="18"/>
  <c r="F20" i="18"/>
  <c r="G20" i="18" s="1"/>
  <c r="H20" i="18" s="1"/>
  <c r="J20" i="18" s="1"/>
  <c r="I19" i="18"/>
  <c r="F19" i="18"/>
  <c r="G19" i="18" s="1"/>
  <c r="H19" i="18" s="1"/>
  <c r="J19" i="18" s="1"/>
  <c r="I18" i="18"/>
  <c r="F18" i="18"/>
  <c r="G18" i="18" s="1"/>
  <c r="H18" i="18" s="1"/>
  <c r="J18" i="18" s="1"/>
  <c r="I17" i="18"/>
  <c r="F17" i="18"/>
  <c r="G17" i="18" s="1"/>
  <c r="H17" i="18" s="1"/>
  <c r="J17" i="18" s="1"/>
  <c r="I16" i="18"/>
  <c r="F16" i="18"/>
  <c r="G16" i="18" s="1"/>
  <c r="H16" i="18" s="1"/>
  <c r="J16" i="18" s="1"/>
  <c r="I15" i="18"/>
  <c r="F15" i="18"/>
  <c r="G15" i="18" s="1"/>
  <c r="H15" i="18" s="1"/>
  <c r="J15" i="18" s="1"/>
  <c r="I14" i="18"/>
  <c r="F14" i="18"/>
  <c r="G14" i="18" s="1"/>
  <c r="H14" i="18" s="1"/>
  <c r="J14" i="18" s="1"/>
  <c r="I13" i="18"/>
  <c r="F13" i="18"/>
  <c r="G13" i="18" s="1"/>
  <c r="H13" i="18" s="1"/>
  <c r="J13" i="18" s="1"/>
  <c r="I12" i="18"/>
  <c r="F12" i="18"/>
  <c r="G12" i="18" s="1"/>
  <c r="H12" i="18" s="1"/>
  <c r="J12" i="18" s="1"/>
  <c r="I11" i="18"/>
  <c r="F11" i="18"/>
  <c r="G11" i="18" s="1"/>
  <c r="H11" i="18" s="1"/>
  <c r="I10" i="18"/>
  <c r="F10" i="18"/>
  <c r="G10" i="18" s="1"/>
  <c r="I9" i="18"/>
  <c r="F9" i="18"/>
  <c r="G9" i="18" s="1"/>
  <c r="H9" i="18" s="1"/>
  <c r="J9" i="18" s="1"/>
  <c r="I8" i="18"/>
  <c r="F8" i="18"/>
  <c r="G8" i="18" s="1"/>
  <c r="H8" i="18" s="1"/>
  <c r="J8" i="18" s="1"/>
  <c r="I7" i="18"/>
  <c r="F7" i="18"/>
  <c r="G7" i="18" s="1"/>
  <c r="H7" i="18" s="1"/>
  <c r="J7" i="18" s="1"/>
  <c r="I6" i="18"/>
  <c r="F6" i="18"/>
  <c r="G6" i="18" s="1"/>
  <c r="I5" i="18"/>
  <c r="F5" i="18"/>
  <c r="G5" i="18" s="1"/>
  <c r="H5" i="18" s="1"/>
  <c r="J5" i="18" s="1"/>
  <c r="I4" i="18"/>
  <c r="F4" i="18"/>
  <c r="G4" i="18" s="1"/>
  <c r="H4" i="18" s="1"/>
  <c r="J4" i="18" s="1"/>
  <c r="I3" i="18"/>
  <c r="F3" i="18"/>
  <c r="G3" i="18" s="1"/>
  <c r="H3" i="18" s="1"/>
  <c r="J3" i="18" s="1"/>
  <c r="I2" i="18"/>
  <c r="F2" i="18"/>
  <c r="G2" i="18" s="1"/>
  <c r="I24" i="17"/>
  <c r="F24" i="17"/>
  <c r="G24" i="17" s="1"/>
  <c r="H24" i="17" s="1"/>
  <c r="J24" i="17" s="1"/>
  <c r="I23" i="17"/>
  <c r="F23" i="17"/>
  <c r="G23" i="17" s="1"/>
  <c r="H23" i="17" s="1"/>
  <c r="J23" i="17" s="1"/>
  <c r="I22" i="17"/>
  <c r="F22" i="17"/>
  <c r="G22" i="17" s="1"/>
  <c r="H22" i="17" s="1"/>
  <c r="J22" i="17" s="1"/>
  <c r="I21" i="17"/>
  <c r="F21" i="17"/>
  <c r="G21" i="17" s="1"/>
  <c r="H21" i="17" s="1"/>
  <c r="I20" i="17"/>
  <c r="F20" i="17"/>
  <c r="G20" i="17" s="1"/>
  <c r="H20" i="17" s="1"/>
  <c r="J20" i="17" s="1"/>
  <c r="I19" i="17"/>
  <c r="F19" i="17"/>
  <c r="G19" i="17" s="1"/>
  <c r="H19" i="17" s="1"/>
  <c r="I18" i="17"/>
  <c r="F18" i="17"/>
  <c r="G18" i="17" s="1"/>
  <c r="H18" i="17" s="1"/>
  <c r="J18" i="17" s="1"/>
  <c r="I17" i="17"/>
  <c r="F17" i="17"/>
  <c r="G17" i="17" s="1"/>
  <c r="H17" i="17" s="1"/>
  <c r="J17" i="17" s="1"/>
  <c r="I16" i="17"/>
  <c r="F16" i="17"/>
  <c r="G16" i="17" s="1"/>
  <c r="H16" i="17" s="1"/>
  <c r="J16" i="17" s="1"/>
  <c r="I15" i="17"/>
  <c r="F15" i="17"/>
  <c r="G15" i="17" s="1"/>
  <c r="H15" i="17" s="1"/>
  <c r="J15" i="17" s="1"/>
  <c r="I14" i="17"/>
  <c r="F14" i="17"/>
  <c r="G14" i="17" s="1"/>
  <c r="H14" i="17" s="1"/>
  <c r="J14" i="17" s="1"/>
  <c r="I13" i="17"/>
  <c r="F13" i="17"/>
  <c r="G13" i="17" s="1"/>
  <c r="H13" i="17" s="1"/>
  <c r="J13" i="17" s="1"/>
  <c r="I12" i="17"/>
  <c r="F12" i="17"/>
  <c r="G12" i="17" s="1"/>
  <c r="H12" i="17" s="1"/>
  <c r="J12" i="17" s="1"/>
  <c r="I11" i="17"/>
  <c r="F11" i="17"/>
  <c r="G11" i="17" s="1"/>
  <c r="H11" i="17" s="1"/>
  <c r="J11" i="17" s="1"/>
  <c r="I10" i="17"/>
  <c r="F10" i="17"/>
  <c r="G10" i="17" s="1"/>
  <c r="H10" i="17" s="1"/>
  <c r="J10" i="17" s="1"/>
  <c r="I9" i="17"/>
  <c r="F9" i="17"/>
  <c r="G9" i="17" s="1"/>
  <c r="H9" i="17" s="1"/>
  <c r="J9" i="17" s="1"/>
  <c r="I8" i="17"/>
  <c r="F8" i="17"/>
  <c r="G8" i="17" s="1"/>
  <c r="H8" i="17" s="1"/>
  <c r="I7" i="17"/>
  <c r="F7" i="17"/>
  <c r="G7" i="17" s="1"/>
  <c r="H7" i="17" s="1"/>
  <c r="I6" i="17"/>
  <c r="F6" i="17"/>
  <c r="G6" i="17" s="1"/>
  <c r="H6" i="17" s="1"/>
  <c r="J6" i="17" s="1"/>
  <c r="I5" i="17"/>
  <c r="F5" i="17"/>
  <c r="G5" i="17" s="1"/>
  <c r="H5" i="17" s="1"/>
  <c r="J5" i="17" s="1"/>
  <c r="I4" i="17"/>
  <c r="F4" i="17"/>
  <c r="G4" i="17" s="1"/>
  <c r="I3" i="17"/>
  <c r="F3" i="17"/>
  <c r="G3" i="17" s="1"/>
  <c r="H3" i="17" s="1"/>
  <c r="J3" i="17" s="1"/>
  <c r="I2" i="17"/>
  <c r="F2" i="17"/>
  <c r="G2" i="17" s="1"/>
  <c r="I22" i="16"/>
  <c r="F22" i="16"/>
  <c r="G22" i="16" s="1"/>
  <c r="H22" i="16" s="1"/>
  <c r="J22" i="16" s="1"/>
  <c r="I21" i="16"/>
  <c r="F21" i="16"/>
  <c r="G21" i="16" s="1"/>
  <c r="H21" i="16" s="1"/>
  <c r="J21" i="16" s="1"/>
  <c r="I20" i="16"/>
  <c r="F20" i="16"/>
  <c r="G20" i="16" s="1"/>
  <c r="H20" i="16" s="1"/>
  <c r="J20" i="16" s="1"/>
  <c r="I19" i="16"/>
  <c r="F19" i="16"/>
  <c r="G19" i="16" s="1"/>
  <c r="H19" i="16" s="1"/>
  <c r="J19" i="16" s="1"/>
  <c r="I18" i="16"/>
  <c r="F18" i="16"/>
  <c r="G18" i="16" s="1"/>
  <c r="H18" i="16" s="1"/>
  <c r="J18" i="16" s="1"/>
  <c r="I17" i="16"/>
  <c r="F17" i="16"/>
  <c r="G17" i="16" s="1"/>
  <c r="H17" i="16" s="1"/>
  <c r="J17" i="16" s="1"/>
  <c r="I16" i="16"/>
  <c r="F16" i="16"/>
  <c r="G16" i="16" s="1"/>
  <c r="H16" i="16" s="1"/>
  <c r="J16" i="16" s="1"/>
  <c r="I15" i="16"/>
  <c r="F15" i="16"/>
  <c r="G15" i="16" s="1"/>
  <c r="H15" i="16" s="1"/>
  <c r="J15" i="16" s="1"/>
  <c r="I14" i="16"/>
  <c r="F14" i="16"/>
  <c r="G14" i="16" s="1"/>
  <c r="H14" i="16" s="1"/>
  <c r="J14" i="16" s="1"/>
  <c r="I13" i="16"/>
  <c r="F13" i="16"/>
  <c r="G13" i="16" s="1"/>
  <c r="H13" i="16" s="1"/>
  <c r="J13" i="16" s="1"/>
  <c r="I12" i="16"/>
  <c r="F12" i="16"/>
  <c r="G12" i="16" s="1"/>
  <c r="H12" i="16" s="1"/>
  <c r="J12" i="16" s="1"/>
  <c r="I11" i="16"/>
  <c r="F11" i="16"/>
  <c r="G11" i="16" s="1"/>
  <c r="H11" i="16" s="1"/>
  <c r="J11" i="16" s="1"/>
  <c r="I10" i="16"/>
  <c r="F10" i="16"/>
  <c r="G10" i="16" s="1"/>
  <c r="H10" i="16" s="1"/>
  <c r="J10" i="16" s="1"/>
  <c r="I9" i="16"/>
  <c r="F9" i="16"/>
  <c r="G9" i="16" s="1"/>
  <c r="H9" i="16" s="1"/>
  <c r="J9" i="16" s="1"/>
  <c r="I8" i="16"/>
  <c r="F8" i="16"/>
  <c r="G8" i="16" s="1"/>
  <c r="H8" i="16" s="1"/>
  <c r="J8" i="16" s="1"/>
  <c r="I7" i="16"/>
  <c r="F7" i="16"/>
  <c r="G7" i="16" s="1"/>
  <c r="H7" i="16" s="1"/>
  <c r="I6" i="16"/>
  <c r="F6" i="16"/>
  <c r="G6" i="16" s="1"/>
  <c r="H6" i="16" s="1"/>
  <c r="J6" i="16" s="1"/>
  <c r="I5" i="16"/>
  <c r="F5" i="16"/>
  <c r="G5" i="16" s="1"/>
  <c r="H5" i="16" s="1"/>
  <c r="J5" i="16" s="1"/>
  <c r="I4" i="16"/>
  <c r="F4" i="16"/>
  <c r="G4" i="16" s="1"/>
  <c r="H4" i="16" s="1"/>
  <c r="J4" i="16" s="1"/>
  <c r="I3" i="16"/>
  <c r="F3" i="16"/>
  <c r="G3" i="16" s="1"/>
  <c r="I2" i="16"/>
  <c r="F2" i="16"/>
  <c r="G2" i="16" s="1"/>
  <c r="I27" i="15"/>
  <c r="F27" i="15"/>
  <c r="G27" i="15" s="1"/>
  <c r="H27" i="15" s="1"/>
  <c r="J27" i="15" s="1"/>
  <c r="I26" i="15"/>
  <c r="F26" i="15"/>
  <c r="G26" i="15" s="1"/>
  <c r="H26" i="15" s="1"/>
  <c r="J26" i="15" s="1"/>
  <c r="I25" i="15"/>
  <c r="F25" i="15"/>
  <c r="G25" i="15" s="1"/>
  <c r="H25" i="15" s="1"/>
  <c r="J25" i="15" s="1"/>
  <c r="I24" i="15"/>
  <c r="F24" i="15"/>
  <c r="G24" i="15" s="1"/>
  <c r="H24" i="15" s="1"/>
  <c r="J24" i="15" s="1"/>
  <c r="I23" i="15"/>
  <c r="F23" i="15"/>
  <c r="G23" i="15" s="1"/>
  <c r="H23" i="15" s="1"/>
  <c r="J23" i="15" s="1"/>
  <c r="I22" i="15"/>
  <c r="F22" i="15"/>
  <c r="G22" i="15" s="1"/>
  <c r="H22" i="15" s="1"/>
  <c r="J22" i="15" s="1"/>
  <c r="I21" i="15"/>
  <c r="F21" i="15"/>
  <c r="G21" i="15" s="1"/>
  <c r="H21" i="15" s="1"/>
  <c r="J21" i="15" s="1"/>
  <c r="I20" i="15"/>
  <c r="F20" i="15"/>
  <c r="G20" i="15" s="1"/>
  <c r="H20" i="15" s="1"/>
  <c r="J20" i="15" s="1"/>
  <c r="I19" i="15"/>
  <c r="F19" i="15"/>
  <c r="G19" i="15" s="1"/>
  <c r="H19" i="15" s="1"/>
  <c r="J19" i="15" s="1"/>
  <c r="I18" i="15"/>
  <c r="F18" i="15"/>
  <c r="G18" i="15" s="1"/>
  <c r="H18" i="15" s="1"/>
  <c r="J18" i="15" s="1"/>
  <c r="I17" i="15"/>
  <c r="F17" i="15"/>
  <c r="G17" i="15" s="1"/>
  <c r="H17" i="15" s="1"/>
  <c r="J17" i="15" s="1"/>
  <c r="I16" i="15"/>
  <c r="F16" i="15"/>
  <c r="G16" i="15" s="1"/>
  <c r="H16" i="15" s="1"/>
  <c r="J16" i="15" s="1"/>
  <c r="I15" i="15"/>
  <c r="F15" i="15"/>
  <c r="G15" i="15" s="1"/>
  <c r="H15" i="15" s="1"/>
  <c r="J15" i="15" s="1"/>
  <c r="I14" i="15"/>
  <c r="F14" i="15"/>
  <c r="G14" i="15" s="1"/>
  <c r="H14" i="15" s="1"/>
  <c r="J14" i="15" s="1"/>
  <c r="I13" i="15"/>
  <c r="F13" i="15"/>
  <c r="G13" i="15" s="1"/>
  <c r="H13" i="15" s="1"/>
  <c r="J13" i="15" s="1"/>
  <c r="I12" i="15"/>
  <c r="F12" i="15"/>
  <c r="G12" i="15" s="1"/>
  <c r="H12" i="15" s="1"/>
  <c r="J12" i="15" s="1"/>
  <c r="I11" i="15"/>
  <c r="F11" i="15"/>
  <c r="G11" i="15" s="1"/>
  <c r="H11" i="15" s="1"/>
  <c r="J11" i="15" s="1"/>
  <c r="I10" i="15"/>
  <c r="F10" i="15"/>
  <c r="G10" i="15" s="1"/>
  <c r="H10" i="15" s="1"/>
  <c r="J10" i="15" s="1"/>
  <c r="I9" i="15"/>
  <c r="F9" i="15"/>
  <c r="G9" i="15" s="1"/>
  <c r="H9" i="15" s="1"/>
  <c r="J9" i="15" s="1"/>
  <c r="I8" i="15"/>
  <c r="F8" i="15"/>
  <c r="G8" i="15" s="1"/>
  <c r="H8" i="15" s="1"/>
  <c r="J8" i="15" s="1"/>
  <c r="I7" i="15"/>
  <c r="F7" i="15"/>
  <c r="G7" i="15" s="1"/>
  <c r="H7" i="15" s="1"/>
  <c r="J7" i="15" s="1"/>
  <c r="I6" i="15"/>
  <c r="F6" i="15"/>
  <c r="G6" i="15" s="1"/>
  <c r="H6" i="15" s="1"/>
  <c r="J6" i="15" s="1"/>
  <c r="I5" i="15"/>
  <c r="F5" i="15"/>
  <c r="G5" i="15" s="1"/>
  <c r="H5" i="15" s="1"/>
  <c r="J5" i="15" s="1"/>
  <c r="I4" i="15"/>
  <c r="F4" i="15"/>
  <c r="G4" i="15" s="1"/>
  <c r="H4" i="15" s="1"/>
  <c r="J4" i="15" s="1"/>
  <c r="I3" i="15"/>
  <c r="F3" i="15"/>
  <c r="G3" i="15" s="1"/>
  <c r="H3" i="15" s="1"/>
  <c r="J3" i="15" s="1"/>
  <c r="I2" i="15"/>
  <c r="F2" i="15"/>
  <c r="G2" i="15" s="1"/>
  <c r="I22" i="14"/>
  <c r="F22" i="14"/>
  <c r="G22" i="14" s="1"/>
  <c r="H22" i="14" s="1"/>
  <c r="J22" i="14" s="1"/>
  <c r="I21" i="14"/>
  <c r="F21" i="14"/>
  <c r="G21" i="14" s="1"/>
  <c r="H21" i="14" s="1"/>
  <c r="J21" i="14" s="1"/>
  <c r="I20" i="14"/>
  <c r="F20" i="14"/>
  <c r="G20" i="14" s="1"/>
  <c r="H20" i="14" s="1"/>
  <c r="J20" i="14" s="1"/>
  <c r="I19" i="14"/>
  <c r="F19" i="14"/>
  <c r="G19" i="14" s="1"/>
  <c r="H19" i="14" s="1"/>
  <c r="J19" i="14" s="1"/>
  <c r="I18" i="14"/>
  <c r="F18" i="14"/>
  <c r="G18" i="14" s="1"/>
  <c r="H18" i="14" s="1"/>
  <c r="J18" i="14" s="1"/>
  <c r="I17" i="14"/>
  <c r="F17" i="14"/>
  <c r="G17" i="14" s="1"/>
  <c r="H17" i="14" s="1"/>
  <c r="J17" i="14" s="1"/>
  <c r="I16" i="14"/>
  <c r="F16" i="14"/>
  <c r="G16" i="14" s="1"/>
  <c r="H16" i="14" s="1"/>
  <c r="J16" i="14" s="1"/>
  <c r="I15" i="14"/>
  <c r="F15" i="14"/>
  <c r="G15" i="14" s="1"/>
  <c r="H15" i="14" s="1"/>
  <c r="J15" i="14" s="1"/>
  <c r="I14" i="14"/>
  <c r="F14" i="14"/>
  <c r="G14" i="14" s="1"/>
  <c r="H14" i="14" s="1"/>
  <c r="J14" i="14" s="1"/>
  <c r="I13" i="14"/>
  <c r="F13" i="14"/>
  <c r="G13" i="14" s="1"/>
  <c r="H13" i="14" s="1"/>
  <c r="J13" i="14" s="1"/>
  <c r="I12" i="14"/>
  <c r="F12" i="14"/>
  <c r="G12" i="14" s="1"/>
  <c r="H12" i="14" s="1"/>
  <c r="J12" i="14" s="1"/>
  <c r="I11" i="14"/>
  <c r="F11" i="14"/>
  <c r="G11" i="14" s="1"/>
  <c r="H11" i="14" s="1"/>
  <c r="J11" i="14" s="1"/>
  <c r="I10" i="14"/>
  <c r="F10" i="14"/>
  <c r="G10" i="14" s="1"/>
  <c r="H10" i="14" s="1"/>
  <c r="J10" i="14" s="1"/>
  <c r="I9" i="14"/>
  <c r="F9" i="14"/>
  <c r="G9" i="14" s="1"/>
  <c r="H9" i="14" s="1"/>
  <c r="J9" i="14" s="1"/>
  <c r="I8" i="14"/>
  <c r="F8" i="14"/>
  <c r="G8" i="14" s="1"/>
  <c r="H8" i="14" s="1"/>
  <c r="J8" i="14" s="1"/>
  <c r="I7" i="14"/>
  <c r="F7" i="14"/>
  <c r="G7" i="14" s="1"/>
  <c r="H7" i="14" s="1"/>
  <c r="I6" i="14"/>
  <c r="F6" i="14"/>
  <c r="G6" i="14" s="1"/>
  <c r="H6" i="14" s="1"/>
  <c r="J6" i="14" s="1"/>
  <c r="I5" i="14"/>
  <c r="F5" i="14"/>
  <c r="G5" i="14" s="1"/>
  <c r="H5" i="14" s="1"/>
  <c r="J5" i="14" s="1"/>
  <c r="I4" i="14"/>
  <c r="F4" i="14"/>
  <c r="G4" i="14" s="1"/>
  <c r="H4" i="14" s="1"/>
  <c r="J4" i="14" s="1"/>
  <c r="I3" i="14"/>
  <c r="F3" i="14"/>
  <c r="G3" i="14" s="1"/>
  <c r="H3" i="14" s="1"/>
  <c r="I2" i="14"/>
  <c r="F2" i="14"/>
  <c r="G2" i="14" s="1"/>
  <c r="I28" i="13"/>
  <c r="F28" i="13"/>
  <c r="G28" i="13" s="1"/>
  <c r="H28" i="13" s="1"/>
  <c r="J28" i="13" s="1"/>
  <c r="I27" i="13"/>
  <c r="F27" i="13"/>
  <c r="G27" i="13" s="1"/>
  <c r="H27" i="13" s="1"/>
  <c r="J27" i="13" s="1"/>
  <c r="I26" i="13"/>
  <c r="F26" i="13"/>
  <c r="G26" i="13" s="1"/>
  <c r="H26" i="13" s="1"/>
  <c r="J26" i="13" s="1"/>
  <c r="I25" i="13"/>
  <c r="F25" i="13"/>
  <c r="G25" i="13" s="1"/>
  <c r="H25" i="13" s="1"/>
  <c r="J25" i="13" s="1"/>
  <c r="I24" i="13"/>
  <c r="F24" i="13"/>
  <c r="G24" i="13" s="1"/>
  <c r="H24" i="13" s="1"/>
  <c r="J24" i="13" s="1"/>
  <c r="I23" i="13"/>
  <c r="F23" i="13"/>
  <c r="G23" i="13" s="1"/>
  <c r="H23" i="13" s="1"/>
  <c r="I22" i="13"/>
  <c r="F22" i="13"/>
  <c r="G22" i="13" s="1"/>
  <c r="H22" i="13" s="1"/>
  <c r="J22" i="13" s="1"/>
  <c r="I21" i="13"/>
  <c r="F21" i="13"/>
  <c r="G21" i="13" s="1"/>
  <c r="H21" i="13" s="1"/>
  <c r="I20" i="13"/>
  <c r="F20" i="13"/>
  <c r="G20" i="13" s="1"/>
  <c r="H20" i="13" s="1"/>
  <c r="J20" i="13" s="1"/>
  <c r="I19" i="13"/>
  <c r="F19" i="13"/>
  <c r="G19" i="13" s="1"/>
  <c r="H19" i="13" s="1"/>
  <c r="J19" i="13" s="1"/>
  <c r="I18" i="13"/>
  <c r="F18" i="13"/>
  <c r="G18" i="13" s="1"/>
  <c r="H18" i="13" s="1"/>
  <c r="J18" i="13" s="1"/>
  <c r="I17" i="13"/>
  <c r="F17" i="13"/>
  <c r="G17" i="13" s="1"/>
  <c r="H17" i="13" s="1"/>
  <c r="I16" i="13"/>
  <c r="F16" i="13"/>
  <c r="G16" i="13" s="1"/>
  <c r="H16" i="13" s="1"/>
  <c r="I15" i="13"/>
  <c r="F15" i="13"/>
  <c r="G15" i="13" s="1"/>
  <c r="H15" i="13" s="1"/>
  <c r="J15" i="13" s="1"/>
  <c r="I14" i="13"/>
  <c r="F14" i="13"/>
  <c r="G14" i="13" s="1"/>
  <c r="H14" i="13" s="1"/>
  <c r="J14" i="13" s="1"/>
  <c r="I13" i="13"/>
  <c r="F13" i="13"/>
  <c r="G13" i="13" s="1"/>
  <c r="H13" i="13" s="1"/>
  <c r="J13" i="13" s="1"/>
  <c r="I12" i="13"/>
  <c r="F12" i="13"/>
  <c r="G12" i="13" s="1"/>
  <c r="H12" i="13" s="1"/>
  <c r="J12" i="13" s="1"/>
  <c r="I11" i="13"/>
  <c r="F11" i="13"/>
  <c r="G11" i="13" s="1"/>
  <c r="H11" i="13" s="1"/>
  <c r="I10" i="13"/>
  <c r="F10" i="13"/>
  <c r="G10" i="13" s="1"/>
  <c r="H10" i="13" s="1"/>
  <c r="J10" i="13" s="1"/>
  <c r="I9" i="13"/>
  <c r="F9" i="13"/>
  <c r="G9" i="13" s="1"/>
  <c r="H9" i="13" s="1"/>
  <c r="J9" i="13" s="1"/>
  <c r="I8" i="13"/>
  <c r="F8" i="13"/>
  <c r="G8" i="13" s="1"/>
  <c r="H8" i="13" s="1"/>
  <c r="J8" i="13" s="1"/>
  <c r="I7" i="13"/>
  <c r="F7" i="13"/>
  <c r="G7" i="13" s="1"/>
  <c r="H7" i="13" s="1"/>
  <c r="J7" i="13" s="1"/>
  <c r="I6" i="13"/>
  <c r="F6" i="13"/>
  <c r="G6" i="13" s="1"/>
  <c r="H6" i="13" s="1"/>
  <c r="J6" i="13" s="1"/>
  <c r="I5" i="13"/>
  <c r="F5" i="13"/>
  <c r="G5" i="13" s="1"/>
  <c r="H5" i="13" s="1"/>
  <c r="J5" i="13" s="1"/>
  <c r="I4" i="13"/>
  <c r="F4" i="13"/>
  <c r="G4" i="13" s="1"/>
  <c r="I3" i="13"/>
  <c r="F3" i="13"/>
  <c r="G3" i="13" s="1"/>
  <c r="I2" i="13"/>
  <c r="F2" i="13"/>
  <c r="G2" i="13" s="1"/>
  <c r="K2" i="13" s="1"/>
  <c r="I29" i="12"/>
  <c r="F29" i="12"/>
  <c r="G29" i="12" s="1"/>
  <c r="H29" i="12" s="1"/>
  <c r="J29" i="12" s="1"/>
  <c r="I28" i="12"/>
  <c r="F28" i="12"/>
  <c r="G28" i="12" s="1"/>
  <c r="H28" i="12" s="1"/>
  <c r="J28" i="12" s="1"/>
  <c r="I27" i="12"/>
  <c r="F27" i="12"/>
  <c r="G27" i="12" s="1"/>
  <c r="H27" i="12" s="1"/>
  <c r="J27" i="12" s="1"/>
  <c r="I26" i="12"/>
  <c r="F26" i="12"/>
  <c r="G26" i="12" s="1"/>
  <c r="H26" i="12" s="1"/>
  <c r="J26" i="12" s="1"/>
  <c r="I25" i="12"/>
  <c r="F25" i="12"/>
  <c r="G25" i="12" s="1"/>
  <c r="H25" i="12" s="1"/>
  <c r="J25" i="12" s="1"/>
  <c r="I24" i="12"/>
  <c r="F24" i="12"/>
  <c r="G24" i="12" s="1"/>
  <c r="H24" i="12" s="1"/>
  <c r="J24" i="12" s="1"/>
  <c r="I23" i="12"/>
  <c r="F23" i="12"/>
  <c r="G23" i="12" s="1"/>
  <c r="H23" i="12" s="1"/>
  <c r="J23" i="12" s="1"/>
  <c r="I22" i="12"/>
  <c r="F22" i="12"/>
  <c r="G22" i="12" s="1"/>
  <c r="H22" i="12" s="1"/>
  <c r="I21" i="12"/>
  <c r="F21" i="12"/>
  <c r="G21" i="12" s="1"/>
  <c r="H21" i="12" s="1"/>
  <c r="J21" i="12" s="1"/>
  <c r="I20" i="12"/>
  <c r="F20" i="12"/>
  <c r="G20" i="12" s="1"/>
  <c r="H20" i="12" s="1"/>
  <c r="J20" i="12" s="1"/>
  <c r="I19" i="12"/>
  <c r="F19" i="12"/>
  <c r="G19" i="12" s="1"/>
  <c r="H19" i="12" s="1"/>
  <c r="J19" i="12" s="1"/>
  <c r="I18" i="12"/>
  <c r="F18" i="12"/>
  <c r="G18" i="12" s="1"/>
  <c r="H18" i="12" s="1"/>
  <c r="I17" i="12"/>
  <c r="F17" i="12"/>
  <c r="G17" i="12" s="1"/>
  <c r="H17" i="12" s="1"/>
  <c r="J17" i="12" s="1"/>
  <c r="I16" i="12"/>
  <c r="F16" i="12"/>
  <c r="G16" i="12" s="1"/>
  <c r="H16" i="12" s="1"/>
  <c r="J16" i="12" s="1"/>
  <c r="I15" i="12"/>
  <c r="F15" i="12"/>
  <c r="G15" i="12" s="1"/>
  <c r="H15" i="12" s="1"/>
  <c r="J15" i="12" s="1"/>
  <c r="I14" i="12"/>
  <c r="F14" i="12"/>
  <c r="G14" i="12" s="1"/>
  <c r="H14" i="12" s="1"/>
  <c r="J14" i="12" s="1"/>
  <c r="I13" i="12"/>
  <c r="F13" i="12"/>
  <c r="G13" i="12" s="1"/>
  <c r="H13" i="12" s="1"/>
  <c r="J13" i="12" s="1"/>
  <c r="I12" i="12"/>
  <c r="F12" i="12"/>
  <c r="G12" i="12" s="1"/>
  <c r="H12" i="12" s="1"/>
  <c r="J12" i="12" s="1"/>
  <c r="I11" i="12"/>
  <c r="F11" i="12"/>
  <c r="G11" i="12" s="1"/>
  <c r="H11" i="12" s="1"/>
  <c r="J11" i="12" s="1"/>
  <c r="I10" i="12"/>
  <c r="F10" i="12"/>
  <c r="G10" i="12" s="1"/>
  <c r="H10" i="12" s="1"/>
  <c r="J10" i="12" s="1"/>
  <c r="I9" i="12"/>
  <c r="F9" i="12"/>
  <c r="G9" i="12" s="1"/>
  <c r="H9" i="12" s="1"/>
  <c r="J9" i="12" s="1"/>
  <c r="I8" i="12"/>
  <c r="F8" i="12"/>
  <c r="G8" i="12" s="1"/>
  <c r="H8" i="12" s="1"/>
  <c r="J8" i="12" s="1"/>
  <c r="I7" i="12"/>
  <c r="F7" i="12"/>
  <c r="G7" i="12" s="1"/>
  <c r="H7" i="12" s="1"/>
  <c r="J7" i="12" s="1"/>
  <c r="I6" i="12"/>
  <c r="F6" i="12"/>
  <c r="G6" i="12" s="1"/>
  <c r="H6" i="12" s="1"/>
  <c r="J6" i="12" s="1"/>
  <c r="I5" i="12"/>
  <c r="F5" i="12"/>
  <c r="G5" i="12" s="1"/>
  <c r="H5" i="12" s="1"/>
  <c r="J5" i="12" s="1"/>
  <c r="I4" i="12"/>
  <c r="F4" i="12"/>
  <c r="G4" i="12" s="1"/>
  <c r="H4" i="12" s="1"/>
  <c r="J4" i="12" s="1"/>
  <c r="I3" i="12"/>
  <c r="F3" i="12"/>
  <c r="G3" i="12" s="1"/>
  <c r="H3" i="12" s="1"/>
  <c r="J3" i="12" s="1"/>
  <c r="I2" i="12"/>
  <c r="F2" i="12"/>
  <c r="G2" i="12" s="1"/>
  <c r="I29" i="11"/>
  <c r="F29" i="11"/>
  <c r="G29" i="11" s="1"/>
  <c r="H29" i="11" s="1"/>
  <c r="J29" i="11" s="1"/>
  <c r="I28" i="11"/>
  <c r="F28" i="11"/>
  <c r="G28" i="11" s="1"/>
  <c r="H28" i="11" s="1"/>
  <c r="J28" i="11" s="1"/>
  <c r="I27" i="11"/>
  <c r="F27" i="11"/>
  <c r="G27" i="11" s="1"/>
  <c r="H27" i="11" s="1"/>
  <c r="I26" i="11"/>
  <c r="F26" i="11"/>
  <c r="G26" i="11" s="1"/>
  <c r="H26" i="11" s="1"/>
  <c r="J26" i="11" s="1"/>
  <c r="I25" i="11"/>
  <c r="F25" i="11"/>
  <c r="G25" i="11" s="1"/>
  <c r="H25" i="11" s="1"/>
  <c r="J25" i="11" s="1"/>
  <c r="I24" i="11"/>
  <c r="F24" i="11"/>
  <c r="G24" i="11" s="1"/>
  <c r="H24" i="11" s="1"/>
  <c r="J24" i="11" s="1"/>
  <c r="I23" i="11"/>
  <c r="F23" i="11"/>
  <c r="G23" i="11" s="1"/>
  <c r="H23" i="11" s="1"/>
  <c r="J23" i="11" s="1"/>
  <c r="I22" i="11"/>
  <c r="F22" i="11"/>
  <c r="G22" i="11" s="1"/>
  <c r="H22" i="11" s="1"/>
  <c r="J22" i="11" s="1"/>
  <c r="I21" i="11"/>
  <c r="F21" i="11"/>
  <c r="G21" i="11" s="1"/>
  <c r="H21" i="11" s="1"/>
  <c r="J21" i="11" s="1"/>
  <c r="I20" i="11"/>
  <c r="F20" i="11"/>
  <c r="G20" i="11" s="1"/>
  <c r="H20" i="11" s="1"/>
  <c r="J20" i="11" s="1"/>
  <c r="I19" i="11"/>
  <c r="F19" i="11"/>
  <c r="G19" i="11" s="1"/>
  <c r="H19" i="11" s="1"/>
  <c r="J19" i="11" s="1"/>
  <c r="I18" i="11"/>
  <c r="F18" i="11"/>
  <c r="G18" i="11" s="1"/>
  <c r="H18" i="11" s="1"/>
  <c r="J18" i="11" s="1"/>
  <c r="I17" i="11"/>
  <c r="F17" i="11"/>
  <c r="G17" i="11" s="1"/>
  <c r="H17" i="11" s="1"/>
  <c r="J17" i="11" s="1"/>
  <c r="I16" i="11"/>
  <c r="F16" i="11"/>
  <c r="G16" i="11" s="1"/>
  <c r="H16" i="11" s="1"/>
  <c r="J16" i="11" s="1"/>
  <c r="I15" i="11"/>
  <c r="F15" i="11"/>
  <c r="G15" i="11" s="1"/>
  <c r="H15" i="11" s="1"/>
  <c r="J15" i="11" s="1"/>
  <c r="I14" i="11"/>
  <c r="F14" i="11"/>
  <c r="G14" i="11" s="1"/>
  <c r="H14" i="11" s="1"/>
  <c r="I13" i="11"/>
  <c r="F13" i="11"/>
  <c r="G13" i="11" s="1"/>
  <c r="H13" i="11" s="1"/>
  <c r="J13" i="11" s="1"/>
  <c r="I12" i="11"/>
  <c r="F12" i="11"/>
  <c r="G12" i="11" s="1"/>
  <c r="H12" i="11" s="1"/>
  <c r="J12" i="11" s="1"/>
  <c r="I11" i="11"/>
  <c r="F11" i="11"/>
  <c r="G11" i="11" s="1"/>
  <c r="H11" i="11" s="1"/>
  <c r="J11" i="11" s="1"/>
  <c r="I10" i="11"/>
  <c r="F10" i="11"/>
  <c r="G10" i="11" s="1"/>
  <c r="H10" i="11" s="1"/>
  <c r="I9" i="11"/>
  <c r="F9" i="11"/>
  <c r="G9" i="11" s="1"/>
  <c r="H9" i="11" s="1"/>
  <c r="J9" i="11" s="1"/>
  <c r="I8" i="11"/>
  <c r="F8" i="11"/>
  <c r="G8" i="11" s="1"/>
  <c r="H8" i="11" s="1"/>
  <c r="J8" i="11" s="1"/>
  <c r="I7" i="11"/>
  <c r="F7" i="11"/>
  <c r="G7" i="11" s="1"/>
  <c r="H7" i="11" s="1"/>
  <c r="J7" i="11" s="1"/>
  <c r="I6" i="11"/>
  <c r="F6" i="11"/>
  <c r="G6" i="11" s="1"/>
  <c r="H6" i="11" s="1"/>
  <c r="J6" i="11" s="1"/>
  <c r="I5" i="11"/>
  <c r="F5" i="11"/>
  <c r="G5" i="11" s="1"/>
  <c r="H5" i="11" s="1"/>
  <c r="J5" i="11" s="1"/>
  <c r="I4" i="11"/>
  <c r="F4" i="11"/>
  <c r="G4" i="11" s="1"/>
  <c r="H4" i="11" s="1"/>
  <c r="J4" i="11" s="1"/>
  <c r="I3" i="11"/>
  <c r="F3" i="11"/>
  <c r="G3" i="11" s="1"/>
  <c r="I2" i="11"/>
  <c r="F2" i="11"/>
  <c r="G2" i="11" s="1"/>
  <c r="I27" i="10"/>
  <c r="F27" i="10"/>
  <c r="G27" i="10" s="1"/>
  <c r="H27" i="10" s="1"/>
  <c r="J27" i="10" s="1"/>
  <c r="I26" i="10"/>
  <c r="F26" i="10"/>
  <c r="G26" i="10" s="1"/>
  <c r="H26" i="10" s="1"/>
  <c r="J26" i="10" s="1"/>
  <c r="I25" i="10"/>
  <c r="F25" i="10"/>
  <c r="G25" i="10" s="1"/>
  <c r="H25" i="10" s="1"/>
  <c r="J25" i="10" s="1"/>
  <c r="I24" i="10"/>
  <c r="F24" i="10"/>
  <c r="G24" i="10" s="1"/>
  <c r="H24" i="10" s="1"/>
  <c r="J24" i="10" s="1"/>
  <c r="I23" i="10"/>
  <c r="F23" i="10"/>
  <c r="G23" i="10" s="1"/>
  <c r="H23" i="10" s="1"/>
  <c r="J23" i="10" s="1"/>
  <c r="I22" i="10"/>
  <c r="F22" i="10"/>
  <c r="G22" i="10" s="1"/>
  <c r="H22" i="10" s="1"/>
  <c r="J22" i="10" s="1"/>
  <c r="I21" i="10"/>
  <c r="F21" i="10"/>
  <c r="G21" i="10" s="1"/>
  <c r="H21" i="10" s="1"/>
  <c r="J21" i="10" s="1"/>
  <c r="I20" i="10"/>
  <c r="F20" i="10"/>
  <c r="G20" i="10" s="1"/>
  <c r="H20" i="10" s="1"/>
  <c r="J20" i="10" s="1"/>
  <c r="I19" i="10"/>
  <c r="F19" i="10"/>
  <c r="G19" i="10" s="1"/>
  <c r="H19" i="10" s="1"/>
  <c r="J19" i="10" s="1"/>
  <c r="I18" i="10"/>
  <c r="F18" i="10"/>
  <c r="G18" i="10" s="1"/>
  <c r="H18" i="10" s="1"/>
  <c r="J18" i="10" s="1"/>
  <c r="I17" i="10"/>
  <c r="F17" i="10"/>
  <c r="G17" i="10" s="1"/>
  <c r="H17" i="10" s="1"/>
  <c r="J17" i="10" s="1"/>
  <c r="I16" i="10"/>
  <c r="F16" i="10"/>
  <c r="G16" i="10" s="1"/>
  <c r="H16" i="10" s="1"/>
  <c r="J16" i="10" s="1"/>
  <c r="I15" i="10"/>
  <c r="F15" i="10"/>
  <c r="G15" i="10" s="1"/>
  <c r="H15" i="10" s="1"/>
  <c r="J15" i="10" s="1"/>
  <c r="I14" i="10"/>
  <c r="F14" i="10"/>
  <c r="G14" i="10" s="1"/>
  <c r="H14" i="10" s="1"/>
  <c r="J14" i="10" s="1"/>
  <c r="I13" i="10"/>
  <c r="F13" i="10"/>
  <c r="G13" i="10" s="1"/>
  <c r="H13" i="10" s="1"/>
  <c r="J13" i="10" s="1"/>
  <c r="I12" i="10"/>
  <c r="F12" i="10"/>
  <c r="G12" i="10" s="1"/>
  <c r="H12" i="10" s="1"/>
  <c r="J12" i="10" s="1"/>
  <c r="I11" i="10"/>
  <c r="F11" i="10"/>
  <c r="G11" i="10" s="1"/>
  <c r="H11" i="10" s="1"/>
  <c r="J11" i="10" s="1"/>
  <c r="I10" i="10"/>
  <c r="F10" i="10"/>
  <c r="G10" i="10" s="1"/>
  <c r="H10" i="10" s="1"/>
  <c r="J10" i="10" s="1"/>
  <c r="I9" i="10"/>
  <c r="F9" i="10"/>
  <c r="G9" i="10" s="1"/>
  <c r="H9" i="10" s="1"/>
  <c r="J9" i="10" s="1"/>
  <c r="I8" i="10"/>
  <c r="F8" i="10"/>
  <c r="G8" i="10" s="1"/>
  <c r="H8" i="10" s="1"/>
  <c r="J8" i="10" s="1"/>
  <c r="I7" i="10"/>
  <c r="F7" i="10"/>
  <c r="G7" i="10" s="1"/>
  <c r="H7" i="10" s="1"/>
  <c r="J7" i="10" s="1"/>
  <c r="I6" i="10"/>
  <c r="F6" i="10"/>
  <c r="G6" i="10" s="1"/>
  <c r="H6" i="10" s="1"/>
  <c r="J6" i="10" s="1"/>
  <c r="I5" i="10"/>
  <c r="F5" i="10"/>
  <c r="G5" i="10" s="1"/>
  <c r="H5" i="10" s="1"/>
  <c r="J5" i="10" s="1"/>
  <c r="I4" i="10"/>
  <c r="F4" i="10"/>
  <c r="G4" i="10" s="1"/>
  <c r="H4" i="10" s="1"/>
  <c r="J4" i="10" s="1"/>
  <c r="I3" i="10"/>
  <c r="F3" i="10"/>
  <c r="G3" i="10" s="1"/>
  <c r="H3" i="10" s="1"/>
  <c r="J3" i="10" s="1"/>
  <c r="I2" i="10"/>
  <c r="F2" i="10"/>
  <c r="G2" i="10" s="1"/>
  <c r="I28" i="9"/>
  <c r="F28" i="9"/>
  <c r="G28" i="9" s="1"/>
  <c r="H28" i="9" s="1"/>
  <c r="J28" i="9" s="1"/>
  <c r="I27" i="9"/>
  <c r="F27" i="9"/>
  <c r="G27" i="9" s="1"/>
  <c r="H27" i="9" s="1"/>
  <c r="J27" i="9" s="1"/>
  <c r="I26" i="9"/>
  <c r="F26" i="9"/>
  <c r="G26" i="9" s="1"/>
  <c r="H26" i="9" s="1"/>
  <c r="J26" i="9" s="1"/>
  <c r="I25" i="9"/>
  <c r="F25" i="9"/>
  <c r="G25" i="9" s="1"/>
  <c r="H25" i="9" s="1"/>
  <c r="J25" i="9" s="1"/>
  <c r="I24" i="9"/>
  <c r="F24" i="9"/>
  <c r="G24" i="9" s="1"/>
  <c r="H24" i="9" s="1"/>
  <c r="J24" i="9" s="1"/>
  <c r="I23" i="9"/>
  <c r="F23" i="9"/>
  <c r="G23" i="9" s="1"/>
  <c r="H23" i="9" s="1"/>
  <c r="J23" i="9" s="1"/>
  <c r="I22" i="9"/>
  <c r="F22" i="9"/>
  <c r="G22" i="9" s="1"/>
  <c r="H22" i="9" s="1"/>
  <c r="J22" i="9" s="1"/>
  <c r="I21" i="9"/>
  <c r="F21" i="9"/>
  <c r="G21" i="9" s="1"/>
  <c r="H21" i="9" s="1"/>
  <c r="J21" i="9" s="1"/>
  <c r="I20" i="9"/>
  <c r="F20" i="9"/>
  <c r="G20" i="9" s="1"/>
  <c r="H20" i="9" s="1"/>
  <c r="J20" i="9" s="1"/>
  <c r="I19" i="9"/>
  <c r="F19" i="9"/>
  <c r="G19" i="9" s="1"/>
  <c r="H19" i="9" s="1"/>
  <c r="J19" i="9" s="1"/>
  <c r="I18" i="9"/>
  <c r="F18" i="9"/>
  <c r="G18" i="9" s="1"/>
  <c r="H18" i="9" s="1"/>
  <c r="J18" i="9" s="1"/>
  <c r="I17" i="9"/>
  <c r="F17" i="9"/>
  <c r="G17" i="9" s="1"/>
  <c r="H17" i="9" s="1"/>
  <c r="J17" i="9" s="1"/>
  <c r="I16" i="9"/>
  <c r="F16" i="9"/>
  <c r="G16" i="9" s="1"/>
  <c r="H16" i="9" s="1"/>
  <c r="J16" i="9" s="1"/>
  <c r="I15" i="9"/>
  <c r="F15" i="9"/>
  <c r="G15" i="9" s="1"/>
  <c r="H15" i="9" s="1"/>
  <c r="J15" i="9" s="1"/>
  <c r="I14" i="9"/>
  <c r="F14" i="9"/>
  <c r="G14" i="9" s="1"/>
  <c r="H14" i="9" s="1"/>
  <c r="J14" i="9" s="1"/>
  <c r="I13" i="9"/>
  <c r="F13" i="9"/>
  <c r="G13" i="9" s="1"/>
  <c r="H13" i="9" s="1"/>
  <c r="J13" i="9" s="1"/>
  <c r="I12" i="9"/>
  <c r="F12" i="9"/>
  <c r="G12" i="9" s="1"/>
  <c r="H12" i="9" s="1"/>
  <c r="J12" i="9" s="1"/>
  <c r="I11" i="9"/>
  <c r="F11" i="9"/>
  <c r="G11" i="9" s="1"/>
  <c r="H11" i="9" s="1"/>
  <c r="J11" i="9" s="1"/>
  <c r="I10" i="9"/>
  <c r="F10" i="9"/>
  <c r="G10" i="9" s="1"/>
  <c r="H10" i="9" s="1"/>
  <c r="J10" i="9" s="1"/>
  <c r="I9" i="9"/>
  <c r="F9" i="9"/>
  <c r="G9" i="9" s="1"/>
  <c r="H9" i="9" s="1"/>
  <c r="J9" i="9" s="1"/>
  <c r="I8" i="9"/>
  <c r="F8" i="9"/>
  <c r="G8" i="9" s="1"/>
  <c r="H8" i="9" s="1"/>
  <c r="J8" i="9" s="1"/>
  <c r="I7" i="9"/>
  <c r="F7" i="9"/>
  <c r="G7" i="9" s="1"/>
  <c r="H7" i="9" s="1"/>
  <c r="J7" i="9" s="1"/>
  <c r="I6" i="9"/>
  <c r="F6" i="9"/>
  <c r="G6" i="9" s="1"/>
  <c r="H6" i="9" s="1"/>
  <c r="J6" i="9" s="1"/>
  <c r="I5" i="9"/>
  <c r="F5" i="9"/>
  <c r="G5" i="9" s="1"/>
  <c r="H5" i="9" s="1"/>
  <c r="J5" i="9" s="1"/>
  <c r="I4" i="9"/>
  <c r="F4" i="9"/>
  <c r="G4" i="9" s="1"/>
  <c r="H4" i="9" s="1"/>
  <c r="J4" i="9" s="1"/>
  <c r="I3" i="9"/>
  <c r="F3" i="9"/>
  <c r="G3" i="9" s="1"/>
  <c r="H3" i="9" s="1"/>
  <c r="J3" i="9" s="1"/>
  <c r="I2" i="9"/>
  <c r="F2" i="9"/>
  <c r="G2" i="9" s="1"/>
  <c r="I26" i="8"/>
  <c r="F26" i="8"/>
  <c r="G26" i="8" s="1"/>
  <c r="H26" i="8" s="1"/>
  <c r="J26" i="8" s="1"/>
  <c r="I25" i="8"/>
  <c r="F25" i="8"/>
  <c r="G25" i="8" s="1"/>
  <c r="H25" i="8" s="1"/>
  <c r="J25" i="8" s="1"/>
  <c r="I24" i="8"/>
  <c r="F24" i="8"/>
  <c r="G24" i="8" s="1"/>
  <c r="H24" i="8" s="1"/>
  <c r="J24" i="8" s="1"/>
  <c r="I23" i="8"/>
  <c r="F23" i="8"/>
  <c r="G23" i="8" s="1"/>
  <c r="H23" i="8" s="1"/>
  <c r="J23" i="8" s="1"/>
  <c r="I22" i="8"/>
  <c r="F22" i="8"/>
  <c r="G22" i="8" s="1"/>
  <c r="H22" i="8" s="1"/>
  <c r="J22" i="8" s="1"/>
  <c r="I21" i="8"/>
  <c r="F21" i="8"/>
  <c r="G21" i="8" s="1"/>
  <c r="H21" i="8" s="1"/>
  <c r="J21" i="8" s="1"/>
  <c r="I20" i="8"/>
  <c r="F20" i="8"/>
  <c r="G20" i="8" s="1"/>
  <c r="H20" i="8" s="1"/>
  <c r="J20" i="8" s="1"/>
  <c r="I19" i="8"/>
  <c r="F19" i="8"/>
  <c r="G19" i="8" s="1"/>
  <c r="H19" i="8" s="1"/>
  <c r="J19" i="8" s="1"/>
  <c r="I18" i="8"/>
  <c r="F18" i="8"/>
  <c r="G18" i="8" s="1"/>
  <c r="H18" i="8" s="1"/>
  <c r="J18" i="8" s="1"/>
  <c r="I17" i="8"/>
  <c r="F17" i="8"/>
  <c r="G17" i="8" s="1"/>
  <c r="H17" i="8" s="1"/>
  <c r="J17" i="8" s="1"/>
  <c r="I16" i="8"/>
  <c r="F16" i="8"/>
  <c r="G16" i="8" s="1"/>
  <c r="H16" i="8" s="1"/>
  <c r="J16" i="8" s="1"/>
  <c r="I15" i="8"/>
  <c r="F15" i="8"/>
  <c r="G15" i="8" s="1"/>
  <c r="H15" i="8" s="1"/>
  <c r="J15" i="8" s="1"/>
  <c r="I14" i="8"/>
  <c r="F14" i="8"/>
  <c r="G14" i="8" s="1"/>
  <c r="H14" i="8" s="1"/>
  <c r="J14" i="8" s="1"/>
  <c r="I13" i="8"/>
  <c r="F13" i="8"/>
  <c r="G13" i="8" s="1"/>
  <c r="H13" i="8" s="1"/>
  <c r="J13" i="8" s="1"/>
  <c r="I12" i="8"/>
  <c r="F12" i="8"/>
  <c r="G12" i="8" s="1"/>
  <c r="H12" i="8" s="1"/>
  <c r="J12" i="8" s="1"/>
  <c r="I11" i="8"/>
  <c r="F11" i="8"/>
  <c r="G11" i="8" s="1"/>
  <c r="H11" i="8" s="1"/>
  <c r="J11" i="8" s="1"/>
  <c r="I10" i="8"/>
  <c r="F10" i="8"/>
  <c r="G10" i="8" s="1"/>
  <c r="H10" i="8" s="1"/>
  <c r="J10" i="8" s="1"/>
  <c r="I9" i="8"/>
  <c r="F9" i="8"/>
  <c r="G9" i="8" s="1"/>
  <c r="H9" i="8" s="1"/>
  <c r="J9" i="8" s="1"/>
  <c r="I8" i="8"/>
  <c r="F8" i="8"/>
  <c r="G8" i="8" s="1"/>
  <c r="H8" i="8" s="1"/>
  <c r="J8" i="8" s="1"/>
  <c r="I7" i="8"/>
  <c r="F7" i="8"/>
  <c r="G7" i="8" s="1"/>
  <c r="H7" i="8" s="1"/>
  <c r="J7" i="8" s="1"/>
  <c r="I6" i="8"/>
  <c r="F6" i="8"/>
  <c r="G6" i="8" s="1"/>
  <c r="H6" i="8" s="1"/>
  <c r="J6" i="8" s="1"/>
  <c r="I5" i="8"/>
  <c r="F5" i="8"/>
  <c r="G5" i="8" s="1"/>
  <c r="H5" i="8" s="1"/>
  <c r="J5" i="8" s="1"/>
  <c r="I4" i="8"/>
  <c r="F4" i="8"/>
  <c r="G4" i="8" s="1"/>
  <c r="H4" i="8" s="1"/>
  <c r="J4" i="8" s="1"/>
  <c r="I3" i="8"/>
  <c r="F3" i="8"/>
  <c r="G3" i="8" s="1"/>
  <c r="I2" i="8"/>
  <c r="F2" i="8"/>
  <c r="G2" i="8" s="1"/>
  <c r="K2" i="8" s="1"/>
  <c r="I30" i="7"/>
  <c r="F30" i="7"/>
  <c r="G30" i="7" s="1"/>
  <c r="H30" i="7" s="1"/>
  <c r="J30" i="7" s="1"/>
  <c r="I29" i="7"/>
  <c r="F29" i="7"/>
  <c r="G29" i="7" s="1"/>
  <c r="H29" i="7" s="1"/>
  <c r="J29" i="7" s="1"/>
  <c r="I28" i="7"/>
  <c r="F28" i="7"/>
  <c r="G28" i="7" s="1"/>
  <c r="H28" i="7" s="1"/>
  <c r="J28" i="7" s="1"/>
  <c r="I27" i="7"/>
  <c r="F27" i="7"/>
  <c r="G27" i="7" s="1"/>
  <c r="H27" i="7" s="1"/>
  <c r="J27" i="7" s="1"/>
  <c r="I26" i="7"/>
  <c r="F26" i="7"/>
  <c r="G26" i="7" s="1"/>
  <c r="H26" i="7" s="1"/>
  <c r="J26" i="7" s="1"/>
  <c r="I25" i="7"/>
  <c r="F25" i="7"/>
  <c r="G25" i="7" s="1"/>
  <c r="H25" i="7" s="1"/>
  <c r="J25" i="7" s="1"/>
  <c r="I24" i="7"/>
  <c r="F24" i="7"/>
  <c r="G24" i="7" s="1"/>
  <c r="H24" i="7" s="1"/>
  <c r="I23" i="7"/>
  <c r="F23" i="7"/>
  <c r="G23" i="7" s="1"/>
  <c r="H23" i="7" s="1"/>
  <c r="J23" i="7" s="1"/>
  <c r="I22" i="7"/>
  <c r="F22" i="7"/>
  <c r="G22" i="7" s="1"/>
  <c r="H22" i="7" s="1"/>
  <c r="J22" i="7" s="1"/>
  <c r="I21" i="7"/>
  <c r="F21" i="7"/>
  <c r="G21" i="7" s="1"/>
  <c r="H21" i="7" s="1"/>
  <c r="J21" i="7" s="1"/>
  <c r="I20" i="7"/>
  <c r="F20" i="7"/>
  <c r="G20" i="7" s="1"/>
  <c r="H20" i="7" s="1"/>
  <c r="I19" i="7"/>
  <c r="F19" i="7"/>
  <c r="G19" i="7" s="1"/>
  <c r="H19" i="7" s="1"/>
  <c r="J19" i="7" s="1"/>
  <c r="I18" i="7"/>
  <c r="F18" i="7"/>
  <c r="G18" i="7" s="1"/>
  <c r="H18" i="7" s="1"/>
  <c r="J18" i="7" s="1"/>
  <c r="I17" i="7"/>
  <c r="F17" i="7"/>
  <c r="G17" i="7" s="1"/>
  <c r="H17" i="7" s="1"/>
  <c r="J17" i="7" s="1"/>
  <c r="I16" i="7"/>
  <c r="F16" i="7"/>
  <c r="G16" i="7" s="1"/>
  <c r="H16" i="7" s="1"/>
  <c r="J16" i="7" s="1"/>
  <c r="I15" i="7"/>
  <c r="F15" i="7"/>
  <c r="G15" i="7" s="1"/>
  <c r="H15" i="7" s="1"/>
  <c r="J15" i="7" s="1"/>
  <c r="I14" i="7"/>
  <c r="F14" i="7"/>
  <c r="G14" i="7" s="1"/>
  <c r="H14" i="7" s="1"/>
  <c r="J14" i="7" s="1"/>
  <c r="I13" i="7"/>
  <c r="F13" i="7"/>
  <c r="G13" i="7" s="1"/>
  <c r="H13" i="7" s="1"/>
  <c r="J13" i="7" s="1"/>
  <c r="I12" i="7"/>
  <c r="F12" i="7"/>
  <c r="G12" i="7" s="1"/>
  <c r="H12" i="7" s="1"/>
  <c r="J12" i="7" s="1"/>
  <c r="I11" i="7"/>
  <c r="F11" i="7"/>
  <c r="G11" i="7" s="1"/>
  <c r="H11" i="7" s="1"/>
  <c r="J11" i="7" s="1"/>
  <c r="I10" i="7"/>
  <c r="F10" i="7"/>
  <c r="G10" i="7" s="1"/>
  <c r="H10" i="7" s="1"/>
  <c r="I9" i="7"/>
  <c r="F9" i="7"/>
  <c r="G9" i="7" s="1"/>
  <c r="H9" i="7" s="1"/>
  <c r="J9" i="7" s="1"/>
  <c r="I8" i="7"/>
  <c r="F8" i="7"/>
  <c r="G8" i="7" s="1"/>
  <c r="H8" i="7" s="1"/>
  <c r="J8" i="7" s="1"/>
  <c r="I7" i="7"/>
  <c r="F7" i="7"/>
  <c r="G7" i="7" s="1"/>
  <c r="H7" i="7" s="1"/>
  <c r="J7" i="7" s="1"/>
  <c r="I6" i="7"/>
  <c r="F6" i="7"/>
  <c r="G6" i="7" s="1"/>
  <c r="H6" i="7" s="1"/>
  <c r="I5" i="7"/>
  <c r="F5" i="7"/>
  <c r="G5" i="7" s="1"/>
  <c r="H5" i="7" s="1"/>
  <c r="J5" i="7" s="1"/>
  <c r="I4" i="7"/>
  <c r="F4" i="7"/>
  <c r="G4" i="7" s="1"/>
  <c r="H4" i="7" s="1"/>
  <c r="J4" i="7" s="1"/>
  <c r="I3" i="7"/>
  <c r="F3" i="7"/>
  <c r="G3" i="7" s="1"/>
  <c r="H3" i="7" s="1"/>
  <c r="J3" i="7" s="1"/>
  <c r="I2" i="7"/>
  <c r="F2" i="7"/>
  <c r="G2" i="7" s="1"/>
  <c r="I33" i="6"/>
  <c r="F33" i="6"/>
  <c r="G33" i="6" s="1"/>
  <c r="H33" i="6" s="1"/>
  <c r="J33" i="6" s="1"/>
  <c r="I32" i="6"/>
  <c r="F32" i="6"/>
  <c r="G32" i="6" s="1"/>
  <c r="H32" i="6" s="1"/>
  <c r="J32" i="6" s="1"/>
  <c r="I31" i="6"/>
  <c r="F31" i="6"/>
  <c r="G31" i="6" s="1"/>
  <c r="H31" i="6" s="1"/>
  <c r="J31" i="6" s="1"/>
  <c r="I30" i="6"/>
  <c r="F30" i="6"/>
  <c r="G30" i="6" s="1"/>
  <c r="H30" i="6" s="1"/>
  <c r="J30" i="6" s="1"/>
  <c r="I29" i="6"/>
  <c r="F29" i="6"/>
  <c r="G29" i="6" s="1"/>
  <c r="H29" i="6" s="1"/>
  <c r="J29" i="6" s="1"/>
  <c r="I28" i="6"/>
  <c r="F28" i="6"/>
  <c r="G28" i="6" s="1"/>
  <c r="H28" i="6" s="1"/>
  <c r="I27" i="6"/>
  <c r="F27" i="6"/>
  <c r="G27" i="6" s="1"/>
  <c r="H27" i="6" s="1"/>
  <c r="J27" i="6" s="1"/>
  <c r="I26" i="6"/>
  <c r="F26" i="6"/>
  <c r="G26" i="6" s="1"/>
  <c r="H26" i="6" s="1"/>
  <c r="J26" i="6" s="1"/>
  <c r="I25" i="6"/>
  <c r="F25" i="6"/>
  <c r="G25" i="6" s="1"/>
  <c r="H25" i="6" s="1"/>
  <c r="J25" i="6" s="1"/>
  <c r="I24" i="6"/>
  <c r="F24" i="6"/>
  <c r="G24" i="6" s="1"/>
  <c r="H24" i="6" s="1"/>
  <c r="I23" i="6"/>
  <c r="F23" i="6"/>
  <c r="G23" i="6" s="1"/>
  <c r="H23" i="6" s="1"/>
  <c r="J23" i="6" s="1"/>
  <c r="I22" i="6"/>
  <c r="F22" i="6"/>
  <c r="G22" i="6" s="1"/>
  <c r="H22" i="6" s="1"/>
  <c r="J22" i="6" s="1"/>
  <c r="I21" i="6"/>
  <c r="F21" i="6"/>
  <c r="G21" i="6" s="1"/>
  <c r="H21" i="6" s="1"/>
  <c r="J21" i="6" s="1"/>
  <c r="I20" i="6"/>
  <c r="F20" i="6"/>
  <c r="G20" i="6" s="1"/>
  <c r="H20" i="6" s="1"/>
  <c r="J20" i="6" s="1"/>
  <c r="I19" i="6"/>
  <c r="F19" i="6"/>
  <c r="G19" i="6" s="1"/>
  <c r="H19" i="6" s="1"/>
  <c r="J19" i="6" s="1"/>
  <c r="I18" i="6"/>
  <c r="F18" i="6"/>
  <c r="G18" i="6" s="1"/>
  <c r="H18" i="6" s="1"/>
  <c r="J18" i="6" s="1"/>
  <c r="I17" i="6"/>
  <c r="F17" i="6"/>
  <c r="G17" i="6" s="1"/>
  <c r="H17" i="6" s="1"/>
  <c r="J17" i="6" s="1"/>
  <c r="I16" i="6"/>
  <c r="F16" i="6"/>
  <c r="G16" i="6" s="1"/>
  <c r="H16" i="6" s="1"/>
  <c r="J16" i="6" s="1"/>
  <c r="I15" i="6"/>
  <c r="F15" i="6"/>
  <c r="G15" i="6" s="1"/>
  <c r="H15" i="6" s="1"/>
  <c r="J15" i="6" s="1"/>
  <c r="I14" i="6"/>
  <c r="F14" i="6"/>
  <c r="G14" i="6" s="1"/>
  <c r="H14" i="6" s="1"/>
  <c r="I13" i="6"/>
  <c r="F13" i="6"/>
  <c r="G13" i="6" s="1"/>
  <c r="H13" i="6" s="1"/>
  <c r="J13" i="6" s="1"/>
  <c r="I12" i="6"/>
  <c r="F12" i="6"/>
  <c r="G12" i="6" s="1"/>
  <c r="H12" i="6" s="1"/>
  <c r="J12" i="6" s="1"/>
  <c r="I11" i="6"/>
  <c r="F11" i="6"/>
  <c r="G11" i="6" s="1"/>
  <c r="H11" i="6" s="1"/>
  <c r="J11" i="6" s="1"/>
  <c r="I10" i="6"/>
  <c r="F10" i="6"/>
  <c r="G10" i="6" s="1"/>
  <c r="H10" i="6" s="1"/>
  <c r="I9" i="6"/>
  <c r="F9" i="6"/>
  <c r="G9" i="6" s="1"/>
  <c r="H9" i="6" s="1"/>
  <c r="J9" i="6" s="1"/>
  <c r="I8" i="6"/>
  <c r="F8" i="6"/>
  <c r="G8" i="6" s="1"/>
  <c r="H8" i="6" s="1"/>
  <c r="J8" i="6" s="1"/>
  <c r="I7" i="6"/>
  <c r="F7" i="6"/>
  <c r="G7" i="6" s="1"/>
  <c r="H7" i="6" s="1"/>
  <c r="J7" i="6" s="1"/>
  <c r="I6" i="6"/>
  <c r="F6" i="6"/>
  <c r="G6" i="6" s="1"/>
  <c r="H6" i="6" s="1"/>
  <c r="J6" i="6" s="1"/>
  <c r="I5" i="6"/>
  <c r="F5" i="6"/>
  <c r="G5" i="6" s="1"/>
  <c r="H5" i="6" s="1"/>
  <c r="J5" i="6" s="1"/>
  <c r="I4" i="6"/>
  <c r="F4" i="6"/>
  <c r="G4" i="6" s="1"/>
  <c r="H4" i="6" s="1"/>
  <c r="J4" i="6" s="1"/>
  <c r="I3" i="6"/>
  <c r="F3" i="6"/>
  <c r="G3" i="6" s="1"/>
  <c r="H3" i="6" s="1"/>
  <c r="J3" i="6" s="1"/>
  <c r="I2" i="6"/>
  <c r="F2" i="6"/>
  <c r="G2" i="6" s="1"/>
  <c r="I33" i="5"/>
  <c r="F33" i="5"/>
  <c r="G33" i="5" s="1"/>
  <c r="H33" i="5" s="1"/>
  <c r="J33" i="5" s="1"/>
  <c r="I32" i="5"/>
  <c r="F32" i="5"/>
  <c r="G32" i="5" s="1"/>
  <c r="H32" i="5" s="1"/>
  <c r="I31" i="5"/>
  <c r="F31" i="5"/>
  <c r="G31" i="5" s="1"/>
  <c r="H31" i="5" s="1"/>
  <c r="J31" i="5" s="1"/>
  <c r="I30" i="5"/>
  <c r="F30" i="5"/>
  <c r="G30" i="5" s="1"/>
  <c r="H30" i="5" s="1"/>
  <c r="J30" i="5" s="1"/>
  <c r="I29" i="5"/>
  <c r="F29" i="5"/>
  <c r="G29" i="5" s="1"/>
  <c r="H29" i="5" s="1"/>
  <c r="J29" i="5" s="1"/>
  <c r="I28" i="5"/>
  <c r="F28" i="5"/>
  <c r="G28" i="5" s="1"/>
  <c r="H28" i="5" s="1"/>
  <c r="I27" i="5"/>
  <c r="F27" i="5"/>
  <c r="G27" i="5" s="1"/>
  <c r="H27" i="5" s="1"/>
  <c r="J27" i="5" s="1"/>
  <c r="I26" i="5"/>
  <c r="F26" i="5"/>
  <c r="G26" i="5" s="1"/>
  <c r="H26" i="5" s="1"/>
  <c r="J26" i="5" s="1"/>
  <c r="I25" i="5"/>
  <c r="F25" i="5"/>
  <c r="G25" i="5" s="1"/>
  <c r="H25" i="5" s="1"/>
  <c r="J25" i="5" s="1"/>
  <c r="I24" i="5"/>
  <c r="F24" i="5"/>
  <c r="G24" i="5" s="1"/>
  <c r="H24" i="5" s="1"/>
  <c r="J24" i="5" s="1"/>
  <c r="I23" i="5"/>
  <c r="F23" i="5"/>
  <c r="G23" i="5" s="1"/>
  <c r="H23" i="5" s="1"/>
  <c r="J23" i="5" s="1"/>
  <c r="I22" i="5"/>
  <c r="F22" i="5"/>
  <c r="G22" i="5" s="1"/>
  <c r="H22" i="5" s="1"/>
  <c r="J22" i="5" s="1"/>
  <c r="I21" i="5"/>
  <c r="F21" i="5"/>
  <c r="G21" i="5" s="1"/>
  <c r="H21" i="5" s="1"/>
  <c r="J21" i="5" s="1"/>
  <c r="I20" i="5"/>
  <c r="F20" i="5"/>
  <c r="G20" i="5" s="1"/>
  <c r="H20" i="5" s="1"/>
  <c r="J20" i="5" s="1"/>
  <c r="I19" i="5"/>
  <c r="F19" i="5"/>
  <c r="G19" i="5" s="1"/>
  <c r="H19" i="5" s="1"/>
  <c r="J19" i="5" s="1"/>
  <c r="I18" i="5"/>
  <c r="F18" i="5"/>
  <c r="G18" i="5" s="1"/>
  <c r="H18" i="5" s="1"/>
  <c r="I17" i="5"/>
  <c r="F17" i="5"/>
  <c r="G17" i="5" s="1"/>
  <c r="H17" i="5" s="1"/>
  <c r="J17" i="5" s="1"/>
  <c r="I16" i="5"/>
  <c r="F16" i="5"/>
  <c r="G16" i="5" s="1"/>
  <c r="H16" i="5" s="1"/>
  <c r="J16" i="5" s="1"/>
  <c r="I15" i="5"/>
  <c r="F15" i="5"/>
  <c r="G15" i="5" s="1"/>
  <c r="H15" i="5" s="1"/>
  <c r="J15" i="5" s="1"/>
  <c r="I14" i="5"/>
  <c r="F14" i="5"/>
  <c r="G14" i="5" s="1"/>
  <c r="H14" i="5" s="1"/>
  <c r="J14" i="5" s="1"/>
  <c r="I13" i="5"/>
  <c r="F13" i="5"/>
  <c r="G13" i="5" s="1"/>
  <c r="H13" i="5" s="1"/>
  <c r="J13" i="5" s="1"/>
  <c r="I12" i="5"/>
  <c r="F12" i="5"/>
  <c r="G12" i="5" s="1"/>
  <c r="H12" i="5" s="1"/>
  <c r="J12" i="5" s="1"/>
  <c r="I11" i="5"/>
  <c r="F11" i="5"/>
  <c r="G11" i="5" s="1"/>
  <c r="H11" i="5" s="1"/>
  <c r="J11" i="5" s="1"/>
  <c r="I10" i="5"/>
  <c r="F10" i="5"/>
  <c r="G10" i="5" s="1"/>
  <c r="H10" i="5" s="1"/>
  <c r="J10" i="5" s="1"/>
  <c r="I9" i="5"/>
  <c r="F9" i="5"/>
  <c r="G9" i="5" s="1"/>
  <c r="H9" i="5" s="1"/>
  <c r="J9" i="5" s="1"/>
  <c r="I8" i="5"/>
  <c r="F8" i="5"/>
  <c r="G8" i="5" s="1"/>
  <c r="H8" i="5" s="1"/>
  <c r="J8" i="5" s="1"/>
  <c r="I7" i="5"/>
  <c r="F7" i="5"/>
  <c r="G7" i="5" s="1"/>
  <c r="H7" i="5" s="1"/>
  <c r="J7" i="5" s="1"/>
  <c r="I6" i="5"/>
  <c r="F6" i="5"/>
  <c r="G6" i="5" s="1"/>
  <c r="H6" i="5" s="1"/>
  <c r="J6" i="5" s="1"/>
  <c r="I5" i="5"/>
  <c r="F5" i="5"/>
  <c r="G5" i="5" s="1"/>
  <c r="H5" i="5" s="1"/>
  <c r="J5" i="5" s="1"/>
  <c r="I4" i="5"/>
  <c r="F4" i="5"/>
  <c r="G4" i="5" s="1"/>
  <c r="H4" i="5" s="1"/>
  <c r="J4" i="5" s="1"/>
  <c r="I3" i="5"/>
  <c r="F3" i="5"/>
  <c r="G3" i="5" s="1"/>
  <c r="H3" i="5" s="1"/>
  <c r="J3" i="5" s="1"/>
  <c r="I2" i="5"/>
  <c r="F2" i="5"/>
  <c r="G2" i="5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2" i="4"/>
  <c r="G22" i="4"/>
  <c r="H22" i="4" s="1"/>
  <c r="G23" i="4"/>
  <c r="H23" i="4" s="1"/>
  <c r="F3" i="4"/>
  <c r="G3" i="4" s="1"/>
  <c r="H3" i="4" s="1"/>
  <c r="F4" i="4"/>
  <c r="G4" i="4" s="1"/>
  <c r="H4" i="4" s="1"/>
  <c r="F5" i="4"/>
  <c r="G5" i="4" s="1"/>
  <c r="H5" i="4" s="1"/>
  <c r="J5" i="4" s="1"/>
  <c r="F6" i="4"/>
  <c r="G6" i="4" s="1"/>
  <c r="H6" i="4" s="1"/>
  <c r="J6" i="4" s="1"/>
  <c r="F7" i="4"/>
  <c r="G7" i="4" s="1"/>
  <c r="H7" i="4" s="1"/>
  <c r="J7" i="4" s="1"/>
  <c r="F8" i="4"/>
  <c r="G8" i="4" s="1"/>
  <c r="H8" i="4" s="1"/>
  <c r="J8" i="4" s="1"/>
  <c r="F9" i="4"/>
  <c r="G9" i="4" s="1"/>
  <c r="H9" i="4" s="1"/>
  <c r="J9" i="4" s="1"/>
  <c r="F10" i="4"/>
  <c r="G10" i="4" s="1"/>
  <c r="H10" i="4" s="1"/>
  <c r="J10" i="4" s="1"/>
  <c r="F11" i="4"/>
  <c r="G11" i="4" s="1"/>
  <c r="H11" i="4" s="1"/>
  <c r="J11" i="4" s="1"/>
  <c r="F12" i="4"/>
  <c r="G12" i="4" s="1"/>
  <c r="H12" i="4" s="1"/>
  <c r="J12" i="4" s="1"/>
  <c r="F13" i="4"/>
  <c r="G13" i="4" s="1"/>
  <c r="H13" i="4" s="1"/>
  <c r="F14" i="4"/>
  <c r="G14" i="4" s="1"/>
  <c r="F15" i="4"/>
  <c r="G15" i="4" s="1"/>
  <c r="F16" i="4"/>
  <c r="L16" i="4" s="1"/>
  <c r="M16" i="4" s="1"/>
  <c r="N16" i="4" s="1"/>
  <c r="O16" i="4" s="1"/>
  <c r="F17" i="4"/>
  <c r="L17" i="4" s="1"/>
  <c r="M17" i="4" s="1"/>
  <c r="N17" i="4" s="1"/>
  <c r="O17" i="4" s="1"/>
  <c r="F18" i="4"/>
  <c r="L18" i="4" s="1"/>
  <c r="M18" i="4" s="1"/>
  <c r="N18" i="4" s="1"/>
  <c r="O18" i="4" s="1"/>
  <c r="F19" i="4"/>
  <c r="L19" i="4" s="1"/>
  <c r="M19" i="4" s="1"/>
  <c r="N19" i="4" s="1"/>
  <c r="O19" i="4" s="1"/>
  <c r="F20" i="4"/>
  <c r="G20" i="4" s="1"/>
  <c r="H20" i="4" s="1"/>
  <c r="F21" i="4"/>
  <c r="G21" i="4" s="1"/>
  <c r="H21" i="4" s="1"/>
  <c r="F22" i="4"/>
  <c r="F23" i="4"/>
  <c r="F24" i="4"/>
  <c r="G24" i="4" s="1"/>
  <c r="H24" i="4" s="1"/>
  <c r="F25" i="4"/>
  <c r="G25" i="4" s="1"/>
  <c r="H25" i="4" s="1"/>
  <c r="F26" i="4"/>
  <c r="G26" i="4" s="1"/>
  <c r="H26" i="4" s="1"/>
  <c r="F27" i="4"/>
  <c r="G27" i="4" s="1"/>
  <c r="H27" i="4" s="1"/>
  <c r="F28" i="4"/>
  <c r="G28" i="4" s="1"/>
  <c r="H28" i="4" s="1"/>
  <c r="F29" i="4"/>
  <c r="G29" i="4" s="1"/>
  <c r="H29" i="4" s="1"/>
  <c r="F30" i="4"/>
  <c r="G30" i="4" s="1"/>
  <c r="H30" i="4" s="1"/>
  <c r="F31" i="4"/>
  <c r="G31" i="4" s="1"/>
  <c r="H31" i="4" s="1"/>
  <c r="F32" i="4"/>
  <c r="G32" i="4" s="1"/>
  <c r="H32" i="4" s="1"/>
  <c r="F33" i="4"/>
  <c r="G33" i="4" s="1"/>
  <c r="H33" i="4" s="1"/>
  <c r="J33" i="4" s="1"/>
  <c r="F2" i="4"/>
  <c r="L2" i="4" s="1"/>
  <c r="M2" i="4" s="1"/>
  <c r="N2" i="4" s="1"/>
  <c r="O2" i="4" s="1"/>
  <c r="H34" i="21" l="1"/>
  <c r="J34" i="21" s="1"/>
  <c r="K34" i="21"/>
  <c r="K35" i="21"/>
  <c r="L15" i="5"/>
  <c r="M15" i="5" s="1"/>
  <c r="N15" i="5" s="1"/>
  <c r="O15" i="5" s="1"/>
  <c r="L21" i="4"/>
  <c r="M21" i="4" s="1"/>
  <c r="N21" i="4" s="1"/>
  <c r="O21" i="4" s="1"/>
  <c r="L16" i="5"/>
  <c r="M16" i="5" s="1"/>
  <c r="N16" i="5" s="1"/>
  <c r="O16" i="5" s="1"/>
  <c r="L20" i="4"/>
  <c r="M20" i="4" s="1"/>
  <c r="N20" i="4" s="1"/>
  <c r="O20" i="4" s="1"/>
  <c r="L17" i="5"/>
  <c r="M17" i="5" s="1"/>
  <c r="N17" i="5" s="1"/>
  <c r="O17" i="5" s="1"/>
  <c r="L25" i="6"/>
  <c r="M25" i="6" s="1"/>
  <c r="N25" i="6" s="1"/>
  <c r="O25" i="6" s="1"/>
  <c r="L18" i="5"/>
  <c r="M18" i="5" s="1"/>
  <c r="N18" i="5" s="1"/>
  <c r="O18" i="5" s="1"/>
  <c r="G39" i="6"/>
  <c r="G40" i="6" s="1"/>
  <c r="L26" i="6"/>
  <c r="M26" i="6" s="1"/>
  <c r="N26" i="6" s="1"/>
  <c r="O26" i="6" s="1"/>
  <c r="L19" i="5"/>
  <c r="M19" i="5" s="1"/>
  <c r="N19" i="5" s="1"/>
  <c r="O19" i="5" s="1"/>
  <c r="L15" i="4"/>
  <c r="M15" i="4" s="1"/>
  <c r="N15" i="4" s="1"/>
  <c r="O15" i="4" s="1"/>
  <c r="L22" i="5"/>
  <c r="M22" i="5" s="1"/>
  <c r="N22" i="5" s="1"/>
  <c r="O22" i="5" s="1"/>
  <c r="L13" i="4"/>
  <c r="M13" i="4" s="1"/>
  <c r="N13" i="4" s="1"/>
  <c r="O13" i="4" s="1"/>
  <c r="L6" i="6"/>
  <c r="M6" i="6" s="1"/>
  <c r="N6" i="6" s="1"/>
  <c r="O6" i="6" s="1"/>
  <c r="L23" i="5"/>
  <c r="M23" i="5" s="1"/>
  <c r="N23" i="5" s="1"/>
  <c r="O23" i="5" s="1"/>
  <c r="L14" i="4"/>
  <c r="M14" i="4" s="1"/>
  <c r="N14" i="4" s="1"/>
  <c r="O14" i="4" s="1"/>
  <c r="L12" i="4"/>
  <c r="M12" i="4" s="1"/>
  <c r="N12" i="4" s="1"/>
  <c r="O12" i="4" s="1"/>
  <c r="L31" i="6"/>
  <c r="M31" i="6" s="1"/>
  <c r="N31" i="6" s="1"/>
  <c r="O31" i="6" s="1"/>
  <c r="L24" i="5"/>
  <c r="M24" i="5" s="1"/>
  <c r="N24" i="5" s="1"/>
  <c r="O24" i="5" s="1"/>
  <c r="L3" i="6"/>
  <c r="M3" i="6" s="1"/>
  <c r="N3" i="6" s="1"/>
  <c r="O3" i="6" s="1"/>
  <c r="L32" i="6"/>
  <c r="M32" i="6" s="1"/>
  <c r="N32" i="6" s="1"/>
  <c r="O32" i="6" s="1"/>
  <c r="L33" i="6"/>
  <c r="M33" i="6" s="1"/>
  <c r="N33" i="6" s="1"/>
  <c r="O33" i="6" s="1"/>
  <c r="L21" i="5"/>
  <c r="M21" i="5" s="1"/>
  <c r="N21" i="5" s="1"/>
  <c r="O21" i="5" s="1"/>
  <c r="L8" i="4"/>
  <c r="M8" i="4" s="1"/>
  <c r="N8" i="4" s="1"/>
  <c r="O8" i="4" s="1"/>
  <c r="L10" i="6"/>
  <c r="M10" i="6" s="1"/>
  <c r="N10" i="6" s="1"/>
  <c r="O10" i="6" s="1"/>
  <c r="L28" i="5"/>
  <c r="M28" i="5" s="1"/>
  <c r="N28" i="5" s="1"/>
  <c r="O28" i="5" s="1"/>
  <c r="G2" i="4"/>
  <c r="K6" i="4" s="1"/>
  <c r="L7" i="4"/>
  <c r="M7" i="4" s="1"/>
  <c r="N7" i="4" s="1"/>
  <c r="O7" i="4" s="1"/>
  <c r="L11" i="6"/>
  <c r="M11" i="6" s="1"/>
  <c r="N11" i="6" s="1"/>
  <c r="O11" i="6" s="1"/>
  <c r="L2" i="5"/>
  <c r="M2" i="5" s="1"/>
  <c r="N2" i="5" s="1"/>
  <c r="O2" i="5" s="1"/>
  <c r="L29" i="5"/>
  <c r="M29" i="5" s="1"/>
  <c r="N29" i="5" s="1"/>
  <c r="O29" i="5" s="1"/>
  <c r="L6" i="4"/>
  <c r="M6" i="4" s="1"/>
  <c r="N6" i="4" s="1"/>
  <c r="O6" i="4" s="1"/>
  <c r="L12" i="6"/>
  <c r="M12" i="6" s="1"/>
  <c r="N12" i="6" s="1"/>
  <c r="O12" i="6" s="1"/>
  <c r="L3" i="5"/>
  <c r="M3" i="5" s="1"/>
  <c r="N3" i="5" s="1"/>
  <c r="O3" i="5" s="1"/>
  <c r="L30" i="5"/>
  <c r="M30" i="5" s="1"/>
  <c r="N30" i="5" s="1"/>
  <c r="O30" i="5" s="1"/>
  <c r="L27" i="6"/>
  <c r="M27" i="6" s="1"/>
  <c r="N27" i="6" s="1"/>
  <c r="O27" i="6" s="1"/>
  <c r="L9" i="4"/>
  <c r="M9" i="4" s="1"/>
  <c r="N9" i="4" s="1"/>
  <c r="O9" i="4" s="1"/>
  <c r="L33" i="4"/>
  <c r="M33" i="4" s="1"/>
  <c r="N33" i="4" s="1"/>
  <c r="O33" i="4" s="1"/>
  <c r="L5" i="4"/>
  <c r="M5" i="4" s="1"/>
  <c r="N5" i="4" s="1"/>
  <c r="O5" i="4" s="1"/>
  <c r="L13" i="6"/>
  <c r="M13" i="6" s="1"/>
  <c r="N13" i="6" s="1"/>
  <c r="O13" i="6" s="1"/>
  <c r="L4" i="5"/>
  <c r="M4" i="5" s="1"/>
  <c r="N4" i="5" s="1"/>
  <c r="O4" i="5" s="1"/>
  <c r="L31" i="5"/>
  <c r="M31" i="5" s="1"/>
  <c r="N31" i="5" s="1"/>
  <c r="O31" i="5" s="1"/>
  <c r="L32" i="4"/>
  <c r="M32" i="4" s="1"/>
  <c r="N32" i="4" s="1"/>
  <c r="O32" i="4" s="1"/>
  <c r="L4" i="4"/>
  <c r="M4" i="4" s="1"/>
  <c r="N4" i="4" s="1"/>
  <c r="O4" i="4" s="1"/>
  <c r="L5" i="5"/>
  <c r="M5" i="5" s="1"/>
  <c r="N5" i="5" s="1"/>
  <c r="O5" i="5" s="1"/>
  <c r="L32" i="5"/>
  <c r="M32" i="5" s="1"/>
  <c r="N32" i="5" s="1"/>
  <c r="O32" i="5" s="1"/>
  <c r="L28" i="6"/>
  <c r="M28" i="6" s="1"/>
  <c r="N28" i="6" s="1"/>
  <c r="O28" i="6" s="1"/>
  <c r="L31" i="4"/>
  <c r="M31" i="4" s="1"/>
  <c r="N31" i="4" s="1"/>
  <c r="O31" i="4" s="1"/>
  <c r="L3" i="4"/>
  <c r="M3" i="4" s="1"/>
  <c r="N3" i="4" s="1"/>
  <c r="O3" i="4" s="1"/>
  <c r="L14" i="6"/>
  <c r="M14" i="6" s="1"/>
  <c r="N14" i="6" s="1"/>
  <c r="O14" i="6" s="1"/>
  <c r="L33" i="5"/>
  <c r="M33" i="5" s="1"/>
  <c r="N33" i="5" s="1"/>
  <c r="O33" i="5" s="1"/>
  <c r="L30" i="4"/>
  <c r="M30" i="4" s="1"/>
  <c r="N30" i="4" s="1"/>
  <c r="O30" i="4" s="1"/>
  <c r="L15" i="6"/>
  <c r="M15" i="6" s="1"/>
  <c r="N15" i="6" s="1"/>
  <c r="O15" i="6" s="1"/>
  <c r="L7" i="5"/>
  <c r="M7" i="5" s="1"/>
  <c r="N7" i="5" s="1"/>
  <c r="O7" i="5" s="1"/>
  <c r="H2" i="11"/>
  <c r="J2" i="11" s="1"/>
  <c r="K2" i="11"/>
  <c r="K15" i="19"/>
  <c r="K2" i="22"/>
  <c r="H2" i="22"/>
  <c r="J2" i="22" s="1"/>
  <c r="H15" i="4"/>
  <c r="J15" i="4" s="1"/>
  <c r="H14" i="4"/>
  <c r="J14" i="4" s="1"/>
  <c r="J6" i="22"/>
  <c r="J13" i="4"/>
  <c r="H2" i="15"/>
  <c r="H39" i="15" s="1"/>
  <c r="G41" i="15" s="1"/>
  <c r="K9" i="15"/>
  <c r="J27" i="11"/>
  <c r="K3" i="13"/>
  <c r="J16" i="13"/>
  <c r="J8" i="17"/>
  <c r="J21" i="17"/>
  <c r="J20" i="22"/>
  <c r="J22" i="4"/>
  <c r="K34" i="6"/>
  <c r="J23" i="23"/>
  <c r="H2" i="23"/>
  <c r="J2" i="23" s="1"/>
  <c r="K2" i="23"/>
  <c r="J17" i="13"/>
  <c r="J7" i="16"/>
  <c r="K3" i="17"/>
  <c r="J29" i="21"/>
  <c r="J21" i="13"/>
  <c r="J30" i="18"/>
  <c r="J20" i="4"/>
  <c r="J28" i="5"/>
  <c r="J10" i="6"/>
  <c r="J24" i="6"/>
  <c r="J6" i="7"/>
  <c r="J20" i="7"/>
  <c r="J10" i="11"/>
  <c r="J18" i="12"/>
  <c r="J11" i="13"/>
  <c r="J23" i="13"/>
  <c r="J3" i="14"/>
  <c r="J32" i="21"/>
  <c r="J31" i="23"/>
  <c r="J3" i="4"/>
  <c r="H2" i="8"/>
  <c r="G19" i="4"/>
  <c r="H19" i="4" s="1"/>
  <c r="J19" i="4" s="1"/>
  <c r="G18" i="4"/>
  <c r="H18" i="4" s="1"/>
  <c r="J18" i="4" s="1"/>
  <c r="G17" i="4"/>
  <c r="H17" i="4" s="1"/>
  <c r="J17" i="4" s="1"/>
  <c r="G16" i="4"/>
  <c r="H16" i="4" s="1"/>
  <c r="J16" i="4" s="1"/>
  <c r="J24" i="4"/>
  <c r="J18" i="5"/>
  <c r="J32" i="5"/>
  <c r="J14" i="6"/>
  <c r="J28" i="6"/>
  <c r="J10" i="7"/>
  <c r="J24" i="7"/>
  <c r="J14" i="11"/>
  <c r="J22" i="12"/>
  <c r="J7" i="14"/>
  <c r="J7" i="17"/>
  <c r="J19" i="17"/>
  <c r="J11" i="18"/>
  <c r="J11" i="21"/>
  <c r="J23" i="21"/>
  <c r="J22" i="23"/>
  <c r="K20" i="23"/>
  <c r="K24" i="23"/>
  <c r="K10" i="23"/>
  <c r="G40" i="23"/>
  <c r="K19" i="23"/>
  <c r="K5" i="23"/>
  <c r="K28" i="23"/>
  <c r="K14" i="23"/>
  <c r="K23" i="23"/>
  <c r="K9" i="23"/>
  <c r="K32" i="23"/>
  <c r="K18" i="23"/>
  <c r="K4" i="23"/>
  <c r="K13" i="23"/>
  <c r="K22" i="23"/>
  <c r="K8" i="23"/>
  <c r="K15" i="23"/>
  <c r="K27" i="23"/>
  <c r="K31" i="23"/>
  <c r="K17" i="23"/>
  <c r="K3" i="23"/>
  <c r="K26" i="23"/>
  <c r="K12" i="23"/>
  <c r="H3" i="23"/>
  <c r="J3" i="23" s="1"/>
  <c r="K21" i="23"/>
  <c r="K7" i="23"/>
  <c r="K30" i="23"/>
  <c r="K16" i="23"/>
  <c r="K25" i="23"/>
  <c r="K11" i="23"/>
  <c r="K29" i="23"/>
  <c r="K6" i="23"/>
  <c r="K10" i="22"/>
  <c r="G40" i="22"/>
  <c r="K5" i="22"/>
  <c r="K27" i="22"/>
  <c r="K8" i="22"/>
  <c r="K17" i="22"/>
  <c r="H3" i="22"/>
  <c r="J3" i="22" s="1"/>
  <c r="K7" i="22"/>
  <c r="K16" i="22"/>
  <c r="K25" i="22"/>
  <c r="K11" i="22"/>
  <c r="K21" i="22"/>
  <c r="K24" i="22"/>
  <c r="K19" i="22"/>
  <c r="K14" i="22"/>
  <c r="K23" i="22"/>
  <c r="K9" i="22"/>
  <c r="K18" i="22"/>
  <c r="K4" i="22"/>
  <c r="K13" i="22"/>
  <c r="K22" i="22"/>
  <c r="K3" i="22"/>
  <c r="K26" i="22"/>
  <c r="K12" i="22"/>
  <c r="K20" i="22"/>
  <c r="K15" i="22"/>
  <c r="K6" i="22"/>
  <c r="H4" i="13"/>
  <c r="J4" i="13" s="1"/>
  <c r="K10" i="13"/>
  <c r="K27" i="13"/>
  <c r="K17" i="13"/>
  <c r="K6" i="13"/>
  <c r="H10" i="20"/>
  <c r="J10" i="20" s="1"/>
  <c r="K17" i="20"/>
  <c r="K23" i="17"/>
  <c r="K4" i="17"/>
  <c r="K21" i="17"/>
  <c r="H4" i="17"/>
  <c r="J4" i="17" s="1"/>
  <c r="K16" i="17"/>
  <c r="K24" i="17"/>
  <c r="K14" i="14"/>
  <c r="G39" i="18"/>
  <c r="G40" i="18" s="1"/>
  <c r="K17" i="18"/>
  <c r="H10" i="18"/>
  <c r="J10" i="18" s="1"/>
  <c r="K11" i="19"/>
  <c r="K25" i="20"/>
  <c r="K11" i="20"/>
  <c r="H2" i="20"/>
  <c r="K18" i="20"/>
  <c r="K4" i="20"/>
  <c r="K27" i="20"/>
  <c r="K13" i="20"/>
  <c r="K19" i="20"/>
  <c r="K3" i="20"/>
  <c r="K29" i="20"/>
  <c r="K2" i="20"/>
  <c r="K23" i="20"/>
  <c r="K7" i="20"/>
  <c r="K16" i="20"/>
  <c r="K5" i="20"/>
  <c r="K28" i="20"/>
  <c r="K20" i="20"/>
  <c r="K21" i="20"/>
  <c r="K12" i="20"/>
  <c r="K14" i="20"/>
  <c r="G39" i="20"/>
  <c r="G40" i="20" s="1"/>
  <c r="K26" i="20"/>
  <c r="K6" i="20"/>
  <c r="K10" i="20"/>
  <c r="K8" i="20"/>
  <c r="K15" i="20"/>
  <c r="K24" i="20"/>
  <c r="K11" i="16"/>
  <c r="K11" i="21"/>
  <c r="K25" i="21"/>
  <c r="K32" i="21"/>
  <c r="H3" i="21"/>
  <c r="J3" i="21" s="1"/>
  <c r="K16" i="21"/>
  <c r="K9" i="21"/>
  <c r="K30" i="21"/>
  <c r="K24" i="21"/>
  <c r="K23" i="21"/>
  <c r="K4" i="21"/>
  <c r="K14" i="21"/>
  <c r="K5" i="21"/>
  <c r="K21" i="21"/>
  <c r="K19" i="21"/>
  <c r="K26" i="21"/>
  <c r="K18" i="16"/>
  <c r="K18" i="18"/>
  <c r="K3" i="21"/>
  <c r="K13" i="14"/>
  <c r="K20" i="14"/>
  <c r="K6" i="14"/>
  <c r="K8" i="14"/>
  <c r="K18" i="14"/>
  <c r="G39" i="14"/>
  <c r="G40" i="14" s="1"/>
  <c r="K12" i="14"/>
  <c r="K7" i="14"/>
  <c r="K17" i="14"/>
  <c r="K22" i="14"/>
  <c r="H2" i="14"/>
  <c r="K16" i="14"/>
  <c r="K21" i="14"/>
  <c r="K5" i="14"/>
  <c r="K4" i="14"/>
  <c r="K19" i="14"/>
  <c r="K11" i="14"/>
  <c r="K3" i="14"/>
  <c r="K9" i="14"/>
  <c r="K15" i="14"/>
  <c r="K2" i="14"/>
  <c r="K22" i="15"/>
  <c r="K8" i="15"/>
  <c r="K15" i="15"/>
  <c r="K6" i="15"/>
  <c r="K21" i="15"/>
  <c r="K16" i="15"/>
  <c r="K26" i="15"/>
  <c r="K10" i="15"/>
  <c r="K20" i="15"/>
  <c r="K19" i="15"/>
  <c r="K24" i="15"/>
  <c r="K3" i="15"/>
  <c r="G39" i="15"/>
  <c r="G40" i="15" s="1"/>
  <c r="K13" i="15"/>
  <c r="K12" i="15"/>
  <c r="K25" i="15"/>
  <c r="K18" i="15"/>
  <c r="K5" i="15"/>
  <c r="K4" i="15"/>
  <c r="K11" i="15"/>
  <c r="K27" i="15"/>
  <c r="K23" i="15"/>
  <c r="K7" i="15"/>
  <c r="K14" i="15"/>
  <c r="K2" i="15"/>
  <c r="H3" i="16"/>
  <c r="J3" i="16" s="1"/>
  <c r="K9" i="16"/>
  <c r="K21" i="16"/>
  <c r="H5" i="19"/>
  <c r="J5" i="19" s="1"/>
  <c r="K6" i="19"/>
  <c r="K14" i="19"/>
  <c r="K13" i="19"/>
  <c r="K21" i="19"/>
  <c r="K5" i="19"/>
  <c r="K4" i="16"/>
  <c r="K29" i="21"/>
  <c r="K25" i="18"/>
  <c r="K9" i="20"/>
  <c r="K16" i="16"/>
  <c r="K7" i="21"/>
  <c r="K17" i="15"/>
  <c r="H3" i="13"/>
  <c r="J3" i="13" s="1"/>
  <c r="K7" i="13"/>
  <c r="K13" i="13"/>
  <c r="K8" i="13"/>
  <c r="K28" i="13"/>
  <c r="K22" i="13"/>
  <c r="K15" i="13"/>
  <c r="K16" i="13"/>
  <c r="G39" i="13"/>
  <c r="G40" i="13" s="1"/>
  <c r="K12" i="13"/>
  <c r="K5" i="13"/>
  <c r="K21" i="13"/>
  <c r="K10" i="14"/>
  <c r="K20" i="19"/>
  <c r="K22" i="20"/>
  <c r="K13" i="18"/>
  <c r="H6" i="18"/>
  <c r="J6" i="18" s="1"/>
  <c r="K30" i="18"/>
  <c r="K22" i="17"/>
  <c r="K6" i="18"/>
  <c r="K15" i="16"/>
  <c r="K22" i="16"/>
  <c r="K31" i="18"/>
  <c r="K7" i="16"/>
  <c r="K32" i="18"/>
  <c r="J17" i="20"/>
  <c r="K2" i="16"/>
  <c r="K17" i="16"/>
  <c r="K3" i="16"/>
  <c r="K10" i="16"/>
  <c r="G39" i="16"/>
  <c r="G40" i="16" s="1"/>
  <c r="K14" i="16"/>
  <c r="K19" i="16"/>
  <c r="K13" i="16"/>
  <c r="K8" i="16"/>
  <c r="K12" i="16"/>
  <c r="H2" i="16"/>
  <c r="K20" i="16"/>
  <c r="K6" i="16"/>
  <c r="K5" i="16"/>
  <c r="K21" i="18"/>
  <c r="K7" i="18"/>
  <c r="K28" i="18"/>
  <c r="K14" i="18"/>
  <c r="K23" i="18"/>
  <c r="K9" i="18"/>
  <c r="K11" i="18"/>
  <c r="K26" i="18"/>
  <c r="K5" i="18"/>
  <c r="K10" i="18"/>
  <c r="K4" i="18"/>
  <c r="K20" i="18"/>
  <c r="K15" i="18"/>
  <c r="K19" i="18"/>
  <c r="K3" i="18"/>
  <c r="K24" i="18"/>
  <c r="K29" i="18"/>
  <c r="K8" i="18"/>
  <c r="K16" i="18"/>
  <c r="K2" i="18"/>
  <c r="K22" i="18"/>
  <c r="H2" i="18"/>
  <c r="K12" i="17"/>
  <c r="K19" i="17"/>
  <c r="K5" i="17"/>
  <c r="G39" i="17"/>
  <c r="G40" i="17" s="1"/>
  <c r="K7" i="17"/>
  <c r="K17" i="17"/>
  <c r="H2" i="17"/>
  <c r="K11" i="17"/>
  <c r="K6" i="17"/>
  <c r="K10" i="17"/>
  <c r="K15" i="17"/>
  <c r="K20" i="17"/>
  <c r="K14" i="17"/>
  <c r="K8" i="17"/>
  <c r="K13" i="17"/>
  <c r="K9" i="17"/>
  <c r="K18" i="17"/>
  <c r="K17" i="19"/>
  <c r="K10" i="19"/>
  <c r="H3" i="19"/>
  <c r="J3" i="19" s="1"/>
  <c r="K2" i="17"/>
  <c r="K12" i="18"/>
  <c r="K27" i="18"/>
  <c r="K31" i="21"/>
  <c r="G39" i="19"/>
  <c r="G40" i="19" s="1"/>
  <c r="K18" i="13"/>
  <c r="K4" i="13"/>
  <c r="K25" i="13"/>
  <c r="K11" i="13"/>
  <c r="H2" i="13"/>
  <c r="K9" i="13"/>
  <c r="K19" i="13"/>
  <c r="K14" i="13"/>
  <c r="K24" i="13"/>
  <c r="K23" i="13"/>
  <c r="K20" i="13"/>
  <c r="K26" i="13"/>
  <c r="K16" i="19"/>
  <c r="K2" i="19"/>
  <c r="K9" i="19"/>
  <c r="K18" i="19"/>
  <c r="K4" i="19"/>
  <c r="K12" i="19"/>
  <c r="H2" i="19"/>
  <c r="K7" i="19"/>
  <c r="K15" i="21"/>
  <c r="K10" i="21"/>
  <c r="K8" i="19"/>
  <c r="K3" i="19"/>
  <c r="K19" i="19"/>
  <c r="K20" i="21"/>
  <c r="K6" i="21"/>
  <c r="K27" i="21"/>
  <c r="K13" i="21"/>
  <c r="K22" i="21"/>
  <c r="K8" i="21"/>
  <c r="K17" i="21"/>
  <c r="K33" i="21"/>
  <c r="H2" i="21"/>
  <c r="K12" i="21"/>
  <c r="K28" i="21"/>
  <c r="G40" i="21"/>
  <c r="K2" i="21"/>
  <c r="K18" i="21"/>
  <c r="K20" i="12"/>
  <c r="K6" i="12"/>
  <c r="K28" i="12"/>
  <c r="K14" i="12"/>
  <c r="K27" i="12"/>
  <c r="K13" i="12"/>
  <c r="K29" i="12"/>
  <c r="K15" i="12"/>
  <c r="K24" i="12"/>
  <c r="K10" i="12"/>
  <c r="G39" i="12"/>
  <c r="G40" i="12" s="1"/>
  <c r="K19" i="12"/>
  <c r="K5" i="12"/>
  <c r="K23" i="12"/>
  <c r="K9" i="12"/>
  <c r="K18" i="12"/>
  <c r="K4" i="12"/>
  <c r="K25" i="12"/>
  <c r="K11" i="12"/>
  <c r="K22" i="12"/>
  <c r="K8" i="12"/>
  <c r="K17" i="12"/>
  <c r="K3" i="12"/>
  <c r="K26" i="12"/>
  <c r="K12" i="12"/>
  <c r="K21" i="12"/>
  <c r="K7" i="12"/>
  <c r="K16" i="12"/>
  <c r="K2" i="12"/>
  <c r="H2" i="12"/>
  <c r="K15" i="11"/>
  <c r="K10" i="11"/>
  <c r="G39" i="11"/>
  <c r="G40" i="11" s="1"/>
  <c r="K28" i="11"/>
  <c r="K18" i="11"/>
  <c r="K27" i="11"/>
  <c r="K8" i="11"/>
  <c r="K17" i="11"/>
  <c r="K12" i="11"/>
  <c r="H3" i="11"/>
  <c r="J3" i="11" s="1"/>
  <c r="K21" i="11"/>
  <c r="K7" i="11"/>
  <c r="K16" i="11"/>
  <c r="K29" i="11"/>
  <c r="K24" i="11"/>
  <c r="K19" i="11"/>
  <c r="K5" i="11"/>
  <c r="K14" i="11"/>
  <c r="K23" i="11"/>
  <c r="K9" i="11"/>
  <c r="K4" i="11"/>
  <c r="K13" i="11"/>
  <c r="K22" i="11"/>
  <c r="K3" i="11"/>
  <c r="K26" i="11"/>
  <c r="K25" i="11"/>
  <c r="K11" i="11"/>
  <c r="K20" i="11"/>
  <c r="K6" i="11"/>
  <c r="K20" i="10"/>
  <c r="K6" i="10"/>
  <c r="K24" i="10"/>
  <c r="K5" i="10"/>
  <c r="K9" i="10"/>
  <c r="K4" i="10"/>
  <c r="K27" i="10"/>
  <c r="K26" i="10"/>
  <c r="K21" i="10"/>
  <c r="K7" i="10"/>
  <c r="K11" i="10"/>
  <c r="K15" i="10"/>
  <c r="K10" i="10"/>
  <c r="G39" i="10"/>
  <c r="G40" i="10" s="1"/>
  <c r="K19" i="10"/>
  <c r="K23" i="10"/>
  <c r="K18" i="10"/>
  <c r="K13" i="10"/>
  <c r="K22" i="10"/>
  <c r="K8" i="10"/>
  <c r="K17" i="10"/>
  <c r="K3" i="10"/>
  <c r="K12" i="10"/>
  <c r="K16" i="10"/>
  <c r="K2" i="10"/>
  <c r="K25" i="10"/>
  <c r="H2" i="10"/>
  <c r="K14" i="10"/>
  <c r="K15" i="9"/>
  <c r="K7" i="9"/>
  <c r="K21" i="9"/>
  <c r="K12" i="9"/>
  <c r="K26" i="9"/>
  <c r="K3" i="9"/>
  <c r="K17" i="9"/>
  <c r="K11" i="9"/>
  <c r="K27" i="9"/>
  <c r="K4" i="9"/>
  <c r="K18" i="9"/>
  <c r="K23" i="9"/>
  <c r="K14" i="9"/>
  <c r="K28" i="9"/>
  <c r="K20" i="9"/>
  <c r="K22" i="9"/>
  <c r="K13" i="9"/>
  <c r="K9" i="9"/>
  <c r="K5" i="9"/>
  <c r="K19" i="9"/>
  <c r="K10" i="9"/>
  <c r="K24" i="9"/>
  <c r="K6" i="9"/>
  <c r="H2" i="9"/>
  <c r="K25" i="9"/>
  <c r="K2" i="9"/>
  <c r="K16" i="9"/>
  <c r="K8" i="9"/>
  <c r="G39" i="9"/>
  <c r="G40" i="9" s="1"/>
  <c r="K20" i="8"/>
  <c r="K15" i="8"/>
  <c r="K10" i="8"/>
  <c r="G39" i="8"/>
  <c r="G40" i="8" s="1"/>
  <c r="K19" i="8"/>
  <c r="K9" i="8"/>
  <c r="K4" i="8"/>
  <c r="K26" i="8"/>
  <c r="K7" i="8"/>
  <c r="K24" i="8"/>
  <c r="K5" i="8"/>
  <c r="K14" i="8"/>
  <c r="K23" i="8"/>
  <c r="K18" i="8"/>
  <c r="K22" i="8"/>
  <c r="K21" i="8"/>
  <c r="K16" i="8"/>
  <c r="K3" i="8"/>
  <c r="K11" i="8"/>
  <c r="K17" i="8"/>
  <c r="H3" i="8"/>
  <c r="J3" i="8" s="1"/>
  <c r="K12" i="8"/>
  <c r="K13" i="8"/>
  <c r="K8" i="8"/>
  <c r="K25" i="8"/>
  <c r="J2" i="8"/>
  <c r="K6" i="8"/>
  <c r="K20" i="7"/>
  <c r="K6" i="7"/>
  <c r="G39" i="7"/>
  <c r="G40" i="7" s="1"/>
  <c r="K5" i="7"/>
  <c r="K23" i="7"/>
  <c r="K18" i="7"/>
  <c r="K27" i="7"/>
  <c r="K13" i="7"/>
  <c r="K8" i="7"/>
  <c r="K12" i="7"/>
  <c r="K30" i="7"/>
  <c r="K26" i="7"/>
  <c r="K21" i="7"/>
  <c r="K7" i="7"/>
  <c r="K16" i="7"/>
  <c r="K2" i="7"/>
  <c r="K29" i="7"/>
  <c r="K15" i="7"/>
  <c r="K24" i="7"/>
  <c r="K10" i="7"/>
  <c r="K19" i="7"/>
  <c r="K28" i="7"/>
  <c r="K14" i="7"/>
  <c r="K9" i="7"/>
  <c r="K4" i="7"/>
  <c r="K22" i="7"/>
  <c r="K17" i="7"/>
  <c r="K3" i="7"/>
  <c r="K25" i="7"/>
  <c r="K11" i="7"/>
  <c r="H2" i="7"/>
  <c r="K20" i="6"/>
  <c r="K6" i="6"/>
  <c r="K10" i="6"/>
  <c r="K33" i="6"/>
  <c r="K5" i="6"/>
  <c r="K28" i="6"/>
  <c r="K14" i="6"/>
  <c r="K23" i="6"/>
  <c r="K32" i="6"/>
  <c r="K18" i="6"/>
  <c r="K4" i="6"/>
  <c r="K27" i="6"/>
  <c r="K13" i="6"/>
  <c r="K8" i="6"/>
  <c r="K17" i="6"/>
  <c r="K3" i="6"/>
  <c r="K26" i="6"/>
  <c r="K16" i="6"/>
  <c r="K25" i="6"/>
  <c r="K11" i="6"/>
  <c r="K22" i="6"/>
  <c r="K12" i="6"/>
  <c r="K21" i="6"/>
  <c r="K30" i="6"/>
  <c r="K29" i="6"/>
  <c r="K15" i="6"/>
  <c r="K24" i="6"/>
  <c r="K19" i="6"/>
  <c r="K9" i="6"/>
  <c r="K31" i="6"/>
  <c r="K7" i="6"/>
  <c r="K2" i="6"/>
  <c r="H2" i="6"/>
  <c r="H39" i="6" s="1"/>
  <c r="K29" i="5"/>
  <c r="K6" i="5"/>
  <c r="K20" i="5"/>
  <c r="H2" i="5"/>
  <c r="K30" i="5"/>
  <c r="K21" i="5"/>
  <c r="K17" i="5"/>
  <c r="K31" i="5"/>
  <c r="K8" i="5"/>
  <c r="K22" i="5"/>
  <c r="K13" i="5"/>
  <c r="K27" i="5"/>
  <c r="K11" i="5"/>
  <c r="K25" i="5"/>
  <c r="K7" i="5"/>
  <c r="K3" i="5"/>
  <c r="K4" i="5"/>
  <c r="K9" i="5"/>
  <c r="K14" i="5"/>
  <c r="G39" i="5"/>
  <c r="G40" i="5" s="1"/>
  <c r="K10" i="5"/>
  <c r="K24" i="5"/>
  <c r="K15" i="5"/>
  <c r="K2" i="5"/>
  <c r="K16" i="5"/>
  <c r="K12" i="5"/>
  <c r="K26" i="5"/>
  <c r="K18" i="5"/>
  <c r="K32" i="5"/>
  <c r="K23" i="5"/>
  <c r="K28" i="5"/>
  <c r="K5" i="5"/>
  <c r="K19" i="5"/>
  <c r="K33" i="5"/>
  <c r="J25" i="4"/>
  <c r="J26" i="4"/>
  <c r="J32" i="4"/>
  <c r="J4" i="4"/>
  <c r="J23" i="4"/>
  <c r="J31" i="4"/>
  <c r="J21" i="4"/>
  <c r="J30" i="4"/>
  <c r="J29" i="4"/>
  <c r="J28" i="4"/>
  <c r="J27" i="4"/>
  <c r="K13" i="4"/>
  <c r="K3" i="4"/>
  <c r="K16" i="4"/>
  <c r="J2" i="15" l="1"/>
  <c r="G42" i="11"/>
  <c r="K11" i="4"/>
  <c r="K7" i="4"/>
  <c r="K12" i="4"/>
  <c r="K8" i="4"/>
  <c r="H2" i="4"/>
  <c r="K4" i="4"/>
  <c r="K14" i="4"/>
  <c r="K9" i="4"/>
  <c r="K2" i="4"/>
  <c r="K10" i="4"/>
  <c r="K18" i="4"/>
  <c r="K33" i="4"/>
  <c r="K5" i="4"/>
  <c r="K15" i="4"/>
  <c r="K17" i="4"/>
  <c r="K27" i="4"/>
  <c r="G42" i="15"/>
  <c r="K25" i="4"/>
  <c r="K26" i="4"/>
  <c r="K31" i="4"/>
  <c r="K19" i="4"/>
  <c r="K28" i="4"/>
  <c r="K20" i="4"/>
  <c r="K23" i="4"/>
  <c r="K32" i="4"/>
  <c r="G39" i="4"/>
  <c r="G40" i="4" s="1"/>
  <c r="K21" i="4"/>
  <c r="K24" i="4"/>
  <c r="K29" i="4"/>
  <c r="K30" i="4"/>
  <c r="K22" i="4"/>
  <c r="G42" i="23"/>
  <c r="G41" i="23"/>
  <c r="G42" i="22"/>
  <c r="H39" i="22"/>
  <c r="G41" i="22" s="1"/>
  <c r="H39" i="13"/>
  <c r="G41" i="13" s="1"/>
  <c r="J2" i="13"/>
  <c r="G42" i="13" s="1"/>
  <c r="J2" i="21"/>
  <c r="G42" i="21" s="1"/>
  <c r="G41" i="21"/>
  <c r="J2" i="18"/>
  <c r="G42" i="18" s="1"/>
  <c r="H39" i="18"/>
  <c r="G41" i="18" s="1"/>
  <c r="H39" i="14"/>
  <c r="G41" i="14" s="1"/>
  <c r="J2" i="14"/>
  <c r="G42" i="14" s="1"/>
  <c r="J2" i="20"/>
  <c r="G42" i="20" s="1"/>
  <c r="H39" i="20"/>
  <c r="G41" i="20" s="1"/>
  <c r="J2" i="17"/>
  <c r="G42" i="17" s="1"/>
  <c r="H39" i="17"/>
  <c r="G41" i="17" s="1"/>
  <c r="J2" i="19"/>
  <c r="G42" i="19" s="1"/>
  <c r="H39" i="19"/>
  <c r="G41" i="19" s="1"/>
  <c r="H39" i="16"/>
  <c r="G41" i="16" s="1"/>
  <c r="J2" i="16"/>
  <c r="G42" i="16" s="1"/>
  <c r="H39" i="12"/>
  <c r="G41" i="12" s="1"/>
  <c r="J2" i="12"/>
  <c r="G42" i="12" s="1"/>
  <c r="H39" i="11"/>
  <c r="G41" i="11" s="1"/>
  <c r="H39" i="10"/>
  <c r="G41" i="10" s="1"/>
  <c r="J2" i="10"/>
  <c r="G42" i="10" s="1"/>
  <c r="J2" i="9"/>
  <c r="G42" i="9" s="1"/>
  <c r="H39" i="9"/>
  <c r="G41" i="9" s="1"/>
  <c r="G42" i="8"/>
  <c r="H39" i="8"/>
  <c r="G41" i="8" s="1"/>
  <c r="H39" i="7"/>
  <c r="G41" i="7" s="1"/>
  <c r="J2" i="7"/>
  <c r="G42" i="7" s="1"/>
  <c r="G41" i="6"/>
  <c r="J2" i="6"/>
  <c r="H39" i="5"/>
  <c r="G41" i="5" s="1"/>
  <c r="J2" i="5"/>
  <c r="G42" i="5" s="1"/>
  <c r="H39" i="4"/>
  <c r="G41" i="4" s="1"/>
  <c r="J2" i="4"/>
  <c r="G42" i="6" l="1"/>
  <c r="G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Altalhi, Hussam Naif S (S&amp;T-Student)</author>
  </authors>
  <commentList>
    <comment ref="A9" authorId="0" shapeId="0" xr:uid="{2180202D-5EF8-48AD-9E0F-C479600C70CB}">
      <text>
        <r>
          <rPr>
            <b/>
            <sz val="9"/>
            <color indexed="81"/>
            <rFont val="Tahoma"/>
            <family val="2"/>
          </rPr>
          <t>Altalhi, Hussam Naif S (S&amp;T-Student):</t>
        </r>
        <r>
          <rPr>
            <sz val="9"/>
            <color indexed="81"/>
            <rFont val="Tahoma"/>
            <family val="2"/>
          </rPr>
          <t xml:space="preserve">
This includes all deductions: treatment (TC), refining (RC), transport, marketing, penalties. </t>
        </r>
      </text>
    </comment>
  </commentList>
</comments>
</file>

<file path=xl/sharedStrings.xml><?xml version="1.0" encoding="utf-8"?>
<sst xmlns="http://schemas.openxmlformats.org/spreadsheetml/2006/main" count="411" uniqueCount="49">
  <si>
    <t>Year</t>
  </si>
  <si>
    <t>Ore (t)</t>
  </si>
  <si>
    <t>Grade (g/t)</t>
  </si>
  <si>
    <t>Recovery (override, optional)</t>
  </si>
  <si>
    <t>Metal Price (override, optional)</t>
  </si>
  <si>
    <t>Metal Produced (oz)</t>
  </si>
  <si>
    <t>Revenue (USD)</t>
  </si>
  <si>
    <t>Severance Tax (USD)</t>
  </si>
  <si>
    <t>Discount Factor</t>
  </si>
  <si>
    <t>PV(Severance Tax) (USD)</t>
  </si>
  <si>
    <t>Cumulative Revenue (USD)</t>
  </si>
  <si>
    <t>Payable Metal (oz)</t>
  </si>
  <si>
    <t>NSR ($)</t>
  </si>
  <si>
    <t>Royalty ($)</t>
  </si>
  <si>
    <t>PV(Royalty)</t>
  </si>
  <si>
    <t>Totals / Key Outputs</t>
  </si>
  <si>
    <t>Total Revenue (USD)</t>
  </si>
  <si>
    <t>Total Severance Tax (USD)</t>
  </si>
  <si>
    <t>Parameter</t>
  </si>
  <si>
    <t>Value</t>
  </si>
  <si>
    <t>Metal Price (USD/oz)</t>
  </si>
  <si>
    <t>Metallurgical Recovery (decimal)</t>
  </si>
  <si>
    <t>Severance Tax Rate (decimal)</t>
  </si>
  <si>
    <t>Discount Rate (decimal)</t>
  </si>
  <si>
    <t>Grams per Troy Ounce</t>
  </si>
  <si>
    <t>Royalty Type (note)</t>
  </si>
  <si>
    <t>NSR</t>
  </si>
  <si>
    <t>NSR Rate (decimal)</t>
  </si>
  <si>
    <t>Payability (decimal)</t>
  </si>
  <si>
    <t xml:space="preserve">Severance Tax &amp; Royalty Calculator </t>
  </si>
  <si>
    <t>How to use this template:</t>
  </si>
  <si>
    <t>1) Paste your yearly schedule from Whittle into the 'Data' sheet:</t>
  </si>
  <si>
    <t xml:space="preserve">   - Year, Ore (t), Grade (g/t).</t>
  </si>
  <si>
    <t xml:space="preserve">   - Optional: enter 'Recovery (override)' or 'Metal Price (override)' per year if they differ from base assumptions.</t>
  </si>
  <si>
    <t>2) Adjust base assumptions in the 'Parameters' sheet:</t>
  </si>
  <si>
    <t xml:space="preserve">   - Metal Price (USD/oz)</t>
  </si>
  <si>
    <t xml:space="preserve">   - Metallurgical Recovery (decimal, e.g., 0.90)</t>
  </si>
  <si>
    <t xml:space="preserve">   - Severance Tax Rate (decimal, e.g., 0.026 for Utah)</t>
  </si>
  <si>
    <t xml:space="preserve">   - Discount Rate (decimal, e.g., 0.08)</t>
  </si>
  <si>
    <t xml:space="preserve">   - Grams per Troy Ounce (31.1035 for gold).</t>
  </si>
  <si>
    <t>3) Outputs per year:</t>
  </si>
  <si>
    <t xml:space="preserve">   - Metal Produced (oz) = Ore * Grade * Recovery / grams/oz</t>
  </si>
  <si>
    <t xml:space="preserve">   - Revenue (USD) = Metal Produced * Metal Price</t>
  </si>
  <si>
    <t xml:space="preserve">   - Severance Tax (USD) = Revenue * Severance Rate (Utah 2.6%)</t>
  </si>
  <si>
    <t xml:space="preserve">   - NSR Value ($) = Payable oz * Price − Payable oz * (TC+RC+Other) − Fixed Shipment</t>
  </si>
  <si>
    <t xml:space="preserve">   - Royalty NSR (USD) = NSR Value * NSR Rate</t>
  </si>
  <si>
    <t xml:space="preserve">   - PV columns = cash flow × Discount Factor (1/(1+i)^t)</t>
  </si>
  <si>
    <t>4) Totals are summarized at the bottom of 'Data'. Extend beyond 30 years by copying formulas down.</t>
  </si>
  <si>
    <t>Note: For multi-schedule comparisons, duplicate the 'Data' sheet per schedule (Schedule_1..Schedule_20) and keep one shared 'Parameters'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</si>
</sst>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7E6"/>
        <bgColor rgb="FFFFF7E6"/>
      </patternFill>
    </fill>
    <fill>
      <patternFill patternType="solid">
        <fgColor rgb="FFEEF6FF"/>
        <bgColor rgb="FFEEF6FF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1" fillId="3" borderId="0" xfId="0" applyFont="1" applyFill="1"/>
    <xf numFmtId="0" fontId="1" fillId="0" borderId="0" xfId="0" applyFont="1"/>
    <xf numFmtId="0" fontId="0" fillId="0" borderId="2" xfId="0" applyBorder="1"/>
    <xf numFmtId="44" fontId="0" fillId="0" borderId="1" xfId="2" applyFont="1" applyBorder="1"/>
    <xf numFmtId="44" fontId="0" fillId="0" borderId="0" xfId="2" applyFont="1"/>
    <xf numFmtId="0" fontId="1" fillId="4" borderId="0" xfId="0" applyFont="1" applyFill="1" applyAlignment="1">
      <alignment horizontal="center" vertical="center"/>
    </xf>
    <xf numFmtId="44" fontId="1" fillId="4" borderId="0" xfId="2" applyFont="1" applyFill="1" applyAlignment="1">
      <alignment horizontal="center" vertical="center"/>
    </xf>
    <xf numFmtId="43" fontId="1" fillId="3" borderId="0" xfId="1" applyFont="1" applyFill="1"/>
    <xf numFmtId="44" fontId="3" fillId="0" borderId="0" xfId="2" applyFont="1"/>
    <xf numFmtId="43" fontId="1" fillId="4" borderId="0" xfId="1" applyFont="1" applyFill="1" applyAlignment="1">
      <alignment horizontal="center" vertical="center"/>
    </xf>
    <xf numFmtId="43" fontId="0" fillId="0" borderId="1" xfId="1" applyFont="1" applyBorder="1"/>
    <xf numFmtId="43" fontId="0" fillId="0" borderId="0" xfId="1" applyFont="1"/>
    <xf numFmtId="0" fontId="0" fillId="0" borderId="0" xfId="0" applyAlignment="1">
      <alignment vertical="center" wrapText="1"/>
    </xf>
    <xf numFmtId="0" fontId="0" fillId="5" borderId="0" xfId="0" applyFill="1"/>
    <xf numFmtId="43" fontId="0" fillId="0" borderId="0" xfId="0" applyNumberFormat="1"/>
    <xf numFmtId="0" fontId="6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9EDF-B547-4D41-AFC3-375F7899CE49}">
  <sheetPr codeName="Sheet1"/>
  <dimension ref="A1:O42"/>
  <sheetViews>
    <sheetView topLeftCell="A13" workbookViewId="0">
      <pane xSplit="1" topLeftCell="D1" activePane="topRight" state="frozen"/>
      <selection pane="topRight" activeCell="G42" sqref="G42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  <col min="16" max="16" width="11.42578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13000000</v>
      </c>
      <c r="C2" s="2">
        <v>2.02</v>
      </c>
      <c r="D2" s="2">
        <v>0.82</v>
      </c>
      <c r="E2" s="2">
        <v>1600</v>
      </c>
      <c r="F2" s="2">
        <f>IFERROR(B2*C2*IF(D2="", Parameters!$B$2, D2)/Parameters!$B$6, 0)</f>
        <v>692307.93962094293</v>
      </c>
      <c r="G2" s="13">
        <f>F2*IF(E2="", Parameters!$B$2, E2)</f>
        <v>1107692703.3935087</v>
      </c>
      <c r="H2" s="2">
        <f>G2*Parameters!$B$4</f>
        <v>28800010.288231224</v>
      </c>
      <c r="I2" s="2">
        <f>1/POWER(1+Parameters!$B$5, A2)</f>
        <v>0.90909090909090906</v>
      </c>
      <c r="J2" s="6">
        <f t="shared" ref="J2:J33" si="0">H2*I2</f>
        <v>26181827.534755658</v>
      </c>
      <c r="K2" s="6">
        <f>SUM($G$2:G2)</f>
        <v>1107692703.3935087</v>
      </c>
      <c r="L2">
        <f>F2*0.95</f>
        <v>657692.54263989569</v>
      </c>
      <c r="M2" s="14">
        <f>L2*IF(E2="",Parameters!$B$2,E2)</f>
        <v>1052308068.2238331</v>
      </c>
      <c r="N2" s="17">
        <f>M2*0.0251</f>
        <v>26412932.512418211</v>
      </c>
      <c r="O2" s="17">
        <f>N2*I2</f>
        <v>24011756.8294711</v>
      </c>
    </row>
    <row r="3" spans="1:15">
      <c r="A3" s="2">
        <v>2</v>
      </c>
      <c r="B3" s="2">
        <v>13000000</v>
      </c>
      <c r="C3" s="2">
        <v>2.02</v>
      </c>
      <c r="D3" s="2">
        <v>0.82</v>
      </c>
      <c r="E3" s="2">
        <v>1600</v>
      </c>
      <c r="F3" s="2">
        <f>IFERROR(B3*C3*IF(D3="", Parameters!$B$2, D3)/Parameters!$B$6, 0)</f>
        <v>692307.93962094293</v>
      </c>
      <c r="G3" s="13">
        <f>F3*IF(E3="", Parameters!$B$2, E3)</f>
        <v>1107692703.3935087</v>
      </c>
      <c r="H3" s="2">
        <f>G3*Parameters!$B$4</f>
        <v>28800010.288231224</v>
      </c>
      <c r="I3" s="2">
        <f>1/POWER(1+Parameters!$B$5, A3)</f>
        <v>0.82644628099173545</v>
      </c>
      <c r="J3" s="6">
        <f t="shared" si="0"/>
        <v>23801661.395232413</v>
      </c>
      <c r="K3" s="6">
        <f>SUM($G$2:G3)</f>
        <v>2215385406.7870173</v>
      </c>
      <c r="L3">
        <f t="shared" ref="L3:L33" si="1">F3*0.95</f>
        <v>657692.54263989569</v>
      </c>
      <c r="M3" s="14">
        <f>L3*IF(E3="",Parameters!$B$2,E3)</f>
        <v>1052308068.2238331</v>
      </c>
      <c r="N3" s="17">
        <f t="shared" ref="N3:N33" si="2">M3*0.0251</f>
        <v>26412932.512418211</v>
      </c>
      <c r="O3" s="17">
        <f t="shared" ref="O3:O33" si="3">N3*I3</f>
        <v>21828869.844973724</v>
      </c>
    </row>
    <row r="4" spans="1:15">
      <c r="A4" s="2">
        <v>3</v>
      </c>
      <c r="B4" s="2">
        <v>13000000</v>
      </c>
      <c r="C4" s="2">
        <v>2.02</v>
      </c>
      <c r="D4" s="2">
        <v>0.82</v>
      </c>
      <c r="E4" s="2">
        <v>1600</v>
      </c>
      <c r="F4" s="2">
        <f>IFERROR(B4*C4*IF(D4="", Parameters!$B$2, D4)/Parameters!$B$6, 0)</f>
        <v>692307.93962094293</v>
      </c>
      <c r="G4" s="13">
        <f>F4*IF(E4="", Parameters!$B$2, E4)</f>
        <v>1107692703.3935087</v>
      </c>
      <c r="H4" s="2">
        <f>G4*Parameters!$B$4</f>
        <v>28800010.288231224</v>
      </c>
      <c r="I4" s="2">
        <f>1/POWER(1+Parameters!$B$5, A4)</f>
        <v>0.75131480090157754</v>
      </c>
      <c r="J4" s="6">
        <f t="shared" si="0"/>
        <v>21637873.995665826</v>
      </c>
      <c r="K4" s="6">
        <f>SUM($G$2:G4)</f>
        <v>3323078110.1805258</v>
      </c>
      <c r="L4">
        <f t="shared" si="1"/>
        <v>657692.54263989569</v>
      </c>
      <c r="M4" s="14">
        <f>L4*IF(E4="",Parameters!$B$2,E4)</f>
        <v>1052308068.2238331</v>
      </c>
      <c r="N4" s="17">
        <f t="shared" si="2"/>
        <v>26412932.512418211</v>
      </c>
      <c r="O4" s="17">
        <f t="shared" si="3"/>
        <v>19844427.131794292</v>
      </c>
    </row>
    <row r="5" spans="1:15">
      <c r="A5" s="2">
        <v>4</v>
      </c>
      <c r="B5" s="2">
        <v>13000000</v>
      </c>
      <c r="C5" s="2">
        <v>2.02</v>
      </c>
      <c r="D5" s="2">
        <v>0.82</v>
      </c>
      <c r="E5" s="2">
        <v>1600</v>
      </c>
      <c r="F5" s="2">
        <f>IFERROR(B5*C5*IF(D5="", Parameters!$B$2, D5)/Parameters!$B$6, 0)</f>
        <v>692307.93962094293</v>
      </c>
      <c r="G5" s="13">
        <f>F5*IF(E5="", Parameters!$B$2, E5)</f>
        <v>1107692703.3935087</v>
      </c>
      <c r="H5" s="2">
        <f>G5*Parameters!$B$4</f>
        <v>28800010.288231224</v>
      </c>
      <c r="I5" s="2">
        <f>1/POWER(1+Parameters!$B$5, A5)</f>
        <v>0.68301345536507052</v>
      </c>
      <c r="J5" s="6">
        <f t="shared" si="0"/>
        <v>19670794.541514389</v>
      </c>
      <c r="K5" s="6">
        <f>SUM($G$2:G5)</f>
        <v>4430770813.5740347</v>
      </c>
      <c r="L5">
        <f t="shared" si="1"/>
        <v>657692.54263989569</v>
      </c>
      <c r="M5" s="14">
        <f>L5*IF(E5="",Parameters!$B$2,E5)</f>
        <v>1052308068.2238331</v>
      </c>
      <c r="N5" s="17">
        <f t="shared" si="2"/>
        <v>26412932.512418211</v>
      </c>
      <c r="O5" s="17">
        <f t="shared" si="3"/>
        <v>18040388.301631175</v>
      </c>
    </row>
    <row r="6" spans="1:15">
      <c r="A6" s="2">
        <v>5</v>
      </c>
      <c r="B6" s="2">
        <v>13000000</v>
      </c>
      <c r="C6" s="2">
        <v>2.02</v>
      </c>
      <c r="D6" s="2">
        <v>0.82</v>
      </c>
      <c r="E6" s="2">
        <v>1600</v>
      </c>
      <c r="F6" s="2">
        <f>IFERROR(B6*C6*IF(D6="", Parameters!$B$2, D6)/Parameters!$B$6, 0)</f>
        <v>692307.93962094293</v>
      </c>
      <c r="G6" s="13">
        <f>F6*IF(E6="", Parameters!$B$2, E6)</f>
        <v>1107692703.3935087</v>
      </c>
      <c r="H6" s="2">
        <f>G6*Parameters!$B$4</f>
        <v>28800010.288231224</v>
      </c>
      <c r="I6" s="2">
        <f>1/POWER(1+Parameters!$B$5, A6)</f>
        <v>0.62092132305915493</v>
      </c>
      <c r="J6" s="6">
        <f t="shared" si="0"/>
        <v>17882540.492285807</v>
      </c>
      <c r="K6" s="6">
        <f>SUM($G$2:G6)</f>
        <v>5538463516.9675436</v>
      </c>
      <c r="L6">
        <f t="shared" si="1"/>
        <v>657692.54263989569</v>
      </c>
      <c r="M6" s="14">
        <f>L6*IF(E6="",Parameters!$B$2,E6)</f>
        <v>1052308068.2238331</v>
      </c>
      <c r="N6" s="17">
        <f t="shared" si="2"/>
        <v>26412932.512418211</v>
      </c>
      <c r="O6" s="17">
        <f t="shared" si="3"/>
        <v>16400353.001482883</v>
      </c>
    </row>
    <row r="7" spans="1:15">
      <c r="A7" s="2">
        <v>6</v>
      </c>
      <c r="B7" s="2">
        <v>13000000</v>
      </c>
      <c r="C7" s="2">
        <v>2.02</v>
      </c>
      <c r="D7" s="2">
        <v>0.82</v>
      </c>
      <c r="E7" s="2">
        <v>1600</v>
      </c>
      <c r="F7" s="2">
        <f>IFERROR(B7*C7*IF(D7="", Parameters!$B$2, D7)/Parameters!$B$6, 0)</f>
        <v>692307.93962094293</v>
      </c>
      <c r="G7" s="13">
        <f>F7*IF(E7="", Parameters!$B$2, E7)</f>
        <v>1107692703.3935087</v>
      </c>
      <c r="H7" s="2">
        <f>G7*Parameters!$B$4</f>
        <v>28800010.288231224</v>
      </c>
      <c r="I7" s="2">
        <f>1/POWER(1+Parameters!$B$5, A7)</f>
        <v>0.56447393005377722</v>
      </c>
      <c r="J7" s="6">
        <f t="shared" si="0"/>
        <v>16256854.992987096</v>
      </c>
      <c r="K7" s="6">
        <f>SUM($G$2:G7)</f>
        <v>6646156220.3610525</v>
      </c>
      <c r="L7">
        <f t="shared" si="1"/>
        <v>657692.54263989569</v>
      </c>
      <c r="M7" s="14">
        <f>L7*IF(E7="",Parameters!$B$2,E7)</f>
        <v>1052308068.2238331</v>
      </c>
      <c r="N7" s="17">
        <f t="shared" si="2"/>
        <v>26412932.512418211</v>
      </c>
      <c r="O7" s="17">
        <f t="shared" si="3"/>
        <v>14909411.819529895</v>
      </c>
    </row>
    <row r="8" spans="1:15">
      <c r="A8" s="2">
        <v>7</v>
      </c>
      <c r="B8" s="2">
        <v>13000000</v>
      </c>
      <c r="C8" s="2">
        <v>2.02</v>
      </c>
      <c r="D8" s="2">
        <v>0.82</v>
      </c>
      <c r="E8" s="2">
        <v>1600</v>
      </c>
      <c r="F8" s="2">
        <f>IFERROR(B8*C8*IF(D8="", Parameters!$B$2, D8)/Parameters!$B$6, 0)</f>
        <v>692307.93962094293</v>
      </c>
      <c r="G8" s="13">
        <f>F8*IF(E8="", Parameters!$B$2, E8)</f>
        <v>1107692703.3935087</v>
      </c>
      <c r="H8" s="2">
        <f>G8*Parameters!$B$4</f>
        <v>28800010.288231224</v>
      </c>
      <c r="I8" s="2">
        <f>1/POWER(1+Parameters!$B$5, A8)</f>
        <v>0.51315811823070645</v>
      </c>
      <c r="J8" s="6">
        <f t="shared" si="0"/>
        <v>14778959.084533721</v>
      </c>
      <c r="K8" s="6">
        <f>SUM($G$2:G8)</f>
        <v>7753848923.7545614</v>
      </c>
      <c r="L8">
        <f t="shared" si="1"/>
        <v>657692.54263989569</v>
      </c>
      <c r="M8" s="14">
        <f>L8*IF(E8="",Parameters!$B$2,E8)</f>
        <v>1052308068.2238331</v>
      </c>
      <c r="N8" s="17">
        <f t="shared" si="2"/>
        <v>26412932.512418211</v>
      </c>
      <c r="O8" s="17">
        <f t="shared" si="3"/>
        <v>13554010.745027175</v>
      </c>
    </row>
    <row r="9" spans="1:15">
      <c r="A9" s="2">
        <v>8</v>
      </c>
      <c r="B9" s="2">
        <v>13000000</v>
      </c>
      <c r="C9" s="2">
        <v>2.02</v>
      </c>
      <c r="D9" s="2">
        <v>0.82</v>
      </c>
      <c r="E9" s="2">
        <v>1600</v>
      </c>
      <c r="F9" s="2">
        <f>IFERROR(B9*C9*IF(D9="", Parameters!$B$2, D9)/Parameters!$B$6, 0)</f>
        <v>692307.93962094293</v>
      </c>
      <c r="G9" s="13">
        <f>F9*IF(E9="", Parameters!$B$2, E9)</f>
        <v>1107692703.3935087</v>
      </c>
      <c r="H9" s="2">
        <f>G9*Parameters!$B$4</f>
        <v>28800010.288231224</v>
      </c>
      <c r="I9" s="2">
        <f>1/POWER(1+Parameters!$B$5, A9)</f>
        <v>0.46650738020973315</v>
      </c>
      <c r="J9" s="6">
        <f t="shared" si="0"/>
        <v>13435417.34957611</v>
      </c>
      <c r="K9" s="6">
        <f>SUM($G$2:G9)</f>
        <v>8861541627.1480694</v>
      </c>
      <c r="L9">
        <f t="shared" si="1"/>
        <v>657692.54263989569</v>
      </c>
      <c r="M9" s="14">
        <f>L9*IF(E9="",Parameters!$B$2,E9)</f>
        <v>1052308068.2238331</v>
      </c>
      <c r="N9" s="17">
        <f t="shared" si="2"/>
        <v>26412932.512418211</v>
      </c>
      <c r="O9" s="17">
        <f t="shared" si="3"/>
        <v>12321827.950024704</v>
      </c>
    </row>
    <row r="10" spans="1:15">
      <c r="A10" s="2">
        <v>9</v>
      </c>
      <c r="B10" s="2">
        <v>13000000</v>
      </c>
      <c r="C10" s="2">
        <v>2.02</v>
      </c>
      <c r="D10" s="2">
        <v>0.82</v>
      </c>
      <c r="E10" s="2">
        <v>1600</v>
      </c>
      <c r="F10" s="2">
        <f>IFERROR(B10*C10*IF(D10="", Parameters!$B$2, D10)/Parameters!$B$6, 0)</f>
        <v>692307.93962094293</v>
      </c>
      <c r="G10" s="13">
        <f>F10*IF(E10="", Parameters!$B$2, E10)</f>
        <v>1107692703.3935087</v>
      </c>
      <c r="H10" s="2">
        <f>G10*Parameters!$B$4</f>
        <v>28800010.288231224</v>
      </c>
      <c r="I10" s="2">
        <f>1/POWER(1+Parameters!$B$5, A10)</f>
        <v>0.42409761837248466</v>
      </c>
      <c r="J10" s="6">
        <f t="shared" si="0"/>
        <v>12214015.772341918</v>
      </c>
      <c r="K10" s="6">
        <f>SUM($G$2:G10)</f>
        <v>9969234330.5415783</v>
      </c>
      <c r="L10">
        <f t="shared" si="1"/>
        <v>657692.54263989569</v>
      </c>
      <c r="M10" s="14">
        <f>L10*IF(E10="",Parameters!$B$2,E10)</f>
        <v>1052308068.2238331</v>
      </c>
      <c r="N10" s="17">
        <f t="shared" si="2"/>
        <v>26412932.512418211</v>
      </c>
      <c r="O10" s="17">
        <f t="shared" si="3"/>
        <v>11201661.772749731</v>
      </c>
    </row>
    <row r="11" spans="1:15">
      <c r="A11" s="2">
        <v>10</v>
      </c>
      <c r="B11" s="2">
        <v>13000000</v>
      </c>
      <c r="C11" s="2">
        <v>2.02</v>
      </c>
      <c r="D11" s="2">
        <v>0.82</v>
      </c>
      <c r="E11" s="2">
        <v>1600</v>
      </c>
      <c r="F11" s="2">
        <f>IFERROR(B11*C11*IF(D11="", Parameters!$B$2, D11)/Parameters!$B$6, 0)</f>
        <v>692307.93962094293</v>
      </c>
      <c r="G11" s="13">
        <f>F11*IF(E11="", Parameters!$B$2, E11)</f>
        <v>1107692703.3935087</v>
      </c>
      <c r="H11" s="2">
        <f>G11*Parameters!$B$4</f>
        <v>28800010.288231224</v>
      </c>
      <c r="I11" s="2">
        <f>1/POWER(1+Parameters!$B$5, A11)</f>
        <v>0.38554328942953148</v>
      </c>
      <c r="J11" s="6">
        <f t="shared" si="0"/>
        <v>11103650.702129016</v>
      </c>
      <c r="K11" s="6">
        <f>SUM($G$2:G11)</f>
        <v>11076927033.935087</v>
      </c>
      <c r="L11">
        <f t="shared" si="1"/>
        <v>657692.54263989569</v>
      </c>
      <c r="M11" s="14">
        <f>L11*IF(E11="",Parameters!$B$2,E11)</f>
        <v>1052308068.2238331</v>
      </c>
      <c r="N11" s="17">
        <f t="shared" si="2"/>
        <v>26412932.512418211</v>
      </c>
      <c r="O11" s="17">
        <f t="shared" si="3"/>
        <v>10183328.884317936</v>
      </c>
    </row>
    <row r="12" spans="1:15">
      <c r="A12" s="2">
        <v>11</v>
      </c>
      <c r="B12" s="2">
        <v>13000000</v>
      </c>
      <c r="C12" s="2">
        <v>2.02</v>
      </c>
      <c r="D12" s="2">
        <v>0.82</v>
      </c>
      <c r="E12" s="2">
        <v>1600</v>
      </c>
      <c r="F12" s="2">
        <f>IFERROR(B12*C12*IF(D12="", Parameters!$B$2, D12)/Parameters!$B$6, 0)</f>
        <v>692307.93962094293</v>
      </c>
      <c r="G12" s="13">
        <f>F12*IF(E12="", Parameters!$B$2, E12)</f>
        <v>1107692703.3935087</v>
      </c>
      <c r="H12" s="2">
        <f>G12*Parameters!$B$4</f>
        <v>28800010.288231224</v>
      </c>
      <c r="I12" s="2">
        <f>1/POWER(1+Parameters!$B$5, A12)</f>
        <v>0.3504938994813922</v>
      </c>
      <c r="J12" s="6">
        <f t="shared" si="0"/>
        <v>10094227.911026375</v>
      </c>
      <c r="K12" s="6">
        <f>SUM($G$2:G12)</f>
        <v>12184619737.328596</v>
      </c>
      <c r="L12">
        <f t="shared" si="1"/>
        <v>657692.54263989569</v>
      </c>
      <c r="M12" s="14">
        <f>L12*IF(E12="",Parameters!$B$2,E12)</f>
        <v>1052308068.2238331</v>
      </c>
      <c r="N12" s="17">
        <f t="shared" si="2"/>
        <v>26412932.512418211</v>
      </c>
      <c r="O12" s="17">
        <f t="shared" si="3"/>
        <v>9257571.7130163051</v>
      </c>
    </row>
    <row r="13" spans="1:15">
      <c r="A13" s="2">
        <v>12</v>
      </c>
      <c r="B13" s="2">
        <v>13000000</v>
      </c>
      <c r="C13" s="2">
        <v>2.02</v>
      </c>
      <c r="D13" s="2">
        <v>0.82</v>
      </c>
      <c r="E13" s="2">
        <v>1600</v>
      </c>
      <c r="F13" s="2">
        <f>IFERROR(B13*C13*IF(D13="", Parameters!$B$2, D13)/Parameters!$B$6, 0)</f>
        <v>692307.93962094293</v>
      </c>
      <c r="G13" s="13">
        <f>F13*IF(E13="", Parameters!$B$2, E13)</f>
        <v>1107692703.3935087</v>
      </c>
      <c r="H13" s="2">
        <f>G13*Parameters!$B$4</f>
        <v>28800010.288231224</v>
      </c>
      <c r="I13" s="2">
        <f>1/POWER(1+Parameters!$B$5, A13)</f>
        <v>0.31863081771035656</v>
      </c>
      <c r="J13" s="6">
        <f t="shared" si="0"/>
        <v>9176570.828205796</v>
      </c>
      <c r="K13" s="6">
        <f>SUM($G$2:G13)</f>
        <v>13292312440.722105</v>
      </c>
      <c r="L13">
        <f t="shared" si="1"/>
        <v>657692.54263989569</v>
      </c>
      <c r="M13" s="14">
        <f>L13*IF(E13="",Parameters!$B$2,E13)</f>
        <v>1052308068.2238331</v>
      </c>
      <c r="N13" s="17">
        <f t="shared" si="2"/>
        <v>26412932.512418211</v>
      </c>
      <c r="O13" s="17">
        <f t="shared" si="3"/>
        <v>8415974.2845602762</v>
      </c>
    </row>
    <row r="14" spans="1:15">
      <c r="A14" s="2">
        <v>13</v>
      </c>
      <c r="B14" s="2">
        <v>13000000</v>
      </c>
      <c r="C14" s="2">
        <v>2.02</v>
      </c>
      <c r="D14" s="2">
        <v>0.82</v>
      </c>
      <c r="E14" s="2">
        <v>1600</v>
      </c>
      <c r="F14" s="2">
        <f>IFERROR(B14*C14*IF(D14="", Parameters!$B$2, D14)/Parameters!$B$6, 0)</f>
        <v>692307.93962094293</v>
      </c>
      <c r="G14" s="13">
        <f>F14*IF(E14="", Parameters!$B$2, E14)</f>
        <v>1107692703.3935087</v>
      </c>
      <c r="H14" s="2">
        <f>G14*Parameters!$B$4</f>
        <v>28800010.288231224</v>
      </c>
      <c r="I14" s="2">
        <f>1/POWER(1+Parameters!$B$5, A14)</f>
        <v>0.28966437973668779</v>
      </c>
      <c r="J14" s="6">
        <f t="shared" si="0"/>
        <v>8342337.116550725</v>
      </c>
      <c r="K14" s="6">
        <f>SUM($G$2:G14)</f>
        <v>14400005144.115614</v>
      </c>
      <c r="L14">
        <f t="shared" si="1"/>
        <v>657692.54263989569</v>
      </c>
      <c r="M14" s="14">
        <f>L14*IF(E14="",Parameters!$B$2,E14)</f>
        <v>1052308068.2238331</v>
      </c>
      <c r="N14" s="17">
        <f t="shared" si="2"/>
        <v>26412932.512418211</v>
      </c>
      <c r="O14" s="17">
        <f t="shared" si="3"/>
        <v>7650885.713236616</v>
      </c>
    </row>
    <row r="15" spans="1:15">
      <c r="A15" s="2">
        <v>14</v>
      </c>
      <c r="B15" s="2">
        <v>13000000</v>
      </c>
      <c r="C15" s="2">
        <v>2.02</v>
      </c>
      <c r="D15" s="2">
        <v>0.82</v>
      </c>
      <c r="E15" s="2">
        <v>1600</v>
      </c>
      <c r="F15" s="2">
        <f>IFERROR(B15*C15*IF(D15="", Parameters!$B$2, D15)/Parameters!$B$6, 0)</f>
        <v>692307.93962094293</v>
      </c>
      <c r="G15" s="13">
        <f>F15*IF(E15="", Parameters!$B$2, E15)</f>
        <v>1107692703.3935087</v>
      </c>
      <c r="H15" s="2">
        <f>G15*Parameters!$B$4</f>
        <v>28800010.288231224</v>
      </c>
      <c r="I15" s="2">
        <f>1/POWER(1+Parameters!$B$5, A15)</f>
        <v>0.26333125430607973</v>
      </c>
      <c r="J15" s="6">
        <f t="shared" si="0"/>
        <v>7583942.8332279287</v>
      </c>
      <c r="K15" s="6">
        <f>SUM($G$2:G15)</f>
        <v>15507697847.509123</v>
      </c>
      <c r="L15">
        <f t="shared" si="1"/>
        <v>657692.54263989569</v>
      </c>
      <c r="M15" s="14">
        <f>L15*IF(E15="",Parameters!$B$2,E15)</f>
        <v>1052308068.2238331</v>
      </c>
      <c r="N15" s="17">
        <f t="shared" si="2"/>
        <v>26412932.512418211</v>
      </c>
      <c r="O15" s="17">
        <f t="shared" si="3"/>
        <v>6955350.6483969213</v>
      </c>
    </row>
    <row r="16" spans="1:15">
      <c r="A16" s="2">
        <v>15</v>
      </c>
      <c r="B16" s="2">
        <v>13000000</v>
      </c>
      <c r="C16" s="2">
        <v>2.02</v>
      </c>
      <c r="D16" s="2">
        <v>0.82</v>
      </c>
      <c r="E16" s="2">
        <v>1600</v>
      </c>
      <c r="F16" s="2">
        <f>IFERROR(B16*C16*IF(D16="", Parameters!$B$2, D16)/Parameters!$B$6, 0)</f>
        <v>692307.93962094293</v>
      </c>
      <c r="G16" s="13">
        <f>F16*IF(E16="", Parameters!$B$2, E16)</f>
        <v>1107692703.3935087</v>
      </c>
      <c r="H16" s="2">
        <f>G16*Parameters!$B$4</f>
        <v>28800010.288231224</v>
      </c>
      <c r="I16" s="2">
        <f>1/POWER(1+Parameters!$B$5, A16)</f>
        <v>0.23939204936916339</v>
      </c>
      <c r="J16" s="6">
        <f t="shared" si="0"/>
        <v>6894493.4847526625</v>
      </c>
      <c r="K16" s="6">
        <f>SUM($G$2:G16)</f>
        <v>16615390550.902632</v>
      </c>
      <c r="L16">
        <f t="shared" si="1"/>
        <v>657692.54263989569</v>
      </c>
      <c r="M16" s="14">
        <f>L16*IF(E16="",Parameters!$B$2,E16)</f>
        <v>1052308068.2238331</v>
      </c>
      <c r="N16" s="17">
        <f t="shared" si="2"/>
        <v>26412932.512418211</v>
      </c>
      <c r="O16" s="17">
        <f t="shared" si="3"/>
        <v>6323046.0439972011</v>
      </c>
    </row>
    <row r="17" spans="1:15">
      <c r="A17" s="2">
        <v>16</v>
      </c>
      <c r="B17" s="2">
        <v>13000000</v>
      </c>
      <c r="C17" s="2">
        <v>2.02</v>
      </c>
      <c r="D17" s="2">
        <v>0.82</v>
      </c>
      <c r="E17" s="2">
        <v>1600</v>
      </c>
      <c r="F17" s="2">
        <f>IFERROR(B17*C17*IF(D17="", Parameters!$B$2, D17)/Parameters!$B$6, 0)</f>
        <v>692307.93962094293</v>
      </c>
      <c r="G17" s="13">
        <f>F17*IF(E17="", Parameters!$B$2, E17)</f>
        <v>1107692703.3935087</v>
      </c>
      <c r="H17" s="2">
        <f>G17*Parameters!$B$4</f>
        <v>28800010.288231224</v>
      </c>
      <c r="I17" s="2">
        <f>1/POWER(1+Parameters!$B$5, A17)</f>
        <v>0.21762913579014853</v>
      </c>
      <c r="J17" s="6">
        <f t="shared" si="0"/>
        <v>6267721.3497751476</v>
      </c>
      <c r="K17" s="6">
        <f>SUM($G$2:G17)</f>
        <v>17723083254.296139</v>
      </c>
      <c r="L17">
        <f t="shared" si="1"/>
        <v>657692.54263989569</v>
      </c>
      <c r="M17" s="14">
        <f>L17*IF(E17="",Parameters!$B$2,E17)</f>
        <v>1052308068.2238331</v>
      </c>
      <c r="N17" s="17">
        <f t="shared" si="2"/>
        <v>26412932.512418211</v>
      </c>
      <c r="O17" s="17">
        <f t="shared" si="3"/>
        <v>5748223.6763610914</v>
      </c>
    </row>
    <row r="18" spans="1:15">
      <c r="A18" s="2">
        <v>17</v>
      </c>
      <c r="B18" s="2">
        <v>13000000</v>
      </c>
      <c r="C18" s="2">
        <v>2.02</v>
      </c>
      <c r="D18" s="2">
        <v>0.82</v>
      </c>
      <c r="E18" s="2">
        <v>1600</v>
      </c>
      <c r="F18" s="2">
        <f>IFERROR(B18*C18*IF(D18="", Parameters!$B$2, D18)/Parameters!$B$6, 0)</f>
        <v>692307.93962094293</v>
      </c>
      <c r="G18" s="13">
        <f>F18*IF(E18="", Parameters!$B$2, E18)</f>
        <v>1107692703.3935087</v>
      </c>
      <c r="H18" s="2">
        <f>G18*Parameters!$B$4</f>
        <v>28800010.288231224</v>
      </c>
      <c r="I18" s="2">
        <f>1/POWER(1+Parameters!$B$5, A18)</f>
        <v>0.19784466890013502</v>
      </c>
      <c r="J18" s="6">
        <f t="shared" si="0"/>
        <v>5697928.4997955887</v>
      </c>
      <c r="K18" s="6">
        <f>SUM($G$2:G18)</f>
        <v>18830775957.689648</v>
      </c>
      <c r="L18">
        <f t="shared" si="1"/>
        <v>657692.54263989569</v>
      </c>
      <c r="M18" s="14">
        <f>L18*IF(E18="",Parameters!$B$2,E18)</f>
        <v>1052308068.2238331</v>
      </c>
      <c r="N18" s="17">
        <f t="shared" si="2"/>
        <v>26412932.512418211</v>
      </c>
      <c r="O18" s="17">
        <f t="shared" si="3"/>
        <v>5225657.8876009928</v>
      </c>
    </row>
    <row r="19" spans="1:15">
      <c r="A19" s="2">
        <v>18</v>
      </c>
      <c r="B19" s="2">
        <v>13000000</v>
      </c>
      <c r="C19" s="2">
        <v>2.02</v>
      </c>
      <c r="D19" s="2">
        <v>0.82</v>
      </c>
      <c r="E19" s="2">
        <v>1600</v>
      </c>
      <c r="F19" s="2">
        <f>IFERROR(B19*C19*IF(D19="", Parameters!$B$2, D19)/Parameters!$B$6, 0)</f>
        <v>692307.93962094293</v>
      </c>
      <c r="G19" s="13">
        <f>F19*IF(E19="", Parameters!$B$2, E19)</f>
        <v>1107692703.3935087</v>
      </c>
      <c r="H19" s="2">
        <f>G19*Parameters!$B$4</f>
        <v>28800010.288231224</v>
      </c>
      <c r="I19" s="2">
        <f>1/POWER(1+Parameters!$B$5, A19)</f>
        <v>0.17985878990921364</v>
      </c>
      <c r="J19" s="6">
        <f t="shared" si="0"/>
        <v>5179934.9998141713</v>
      </c>
      <c r="K19" s="6">
        <f>SUM($G$2:G19)</f>
        <v>19938468661.083157</v>
      </c>
      <c r="L19">
        <f t="shared" si="1"/>
        <v>657692.54263989569</v>
      </c>
      <c r="M19" s="14">
        <f>L19*IF(E19="",Parameters!$B$2,E19)</f>
        <v>1052308068.2238331</v>
      </c>
      <c r="N19" s="17">
        <f t="shared" si="2"/>
        <v>26412932.512418211</v>
      </c>
      <c r="O19" s="17">
        <f t="shared" si="3"/>
        <v>4750598.0796372658</v>
      </c>
    </row>
    <row r="20" spans="1:15">
      <c r="A20" s="2">
        <v>19</v>
      </c>
      <c r="B20" s="2">
        <v>13000000</v>
      </c>
      <c r="C20" s="2">
        <v>2.02</v>
      </c>
      <c r="D20" s="2">
        <v>0.82</v>
      </c>
      <c r="E20" s="2">
        <v>1600</v>
      </c>
      <c r="F20" s="2">
        <f>IFERROR(B20*C20*IF(D20="", Parameters!$B$2, D20)/Parameters!$B$6, 0)</f>
        <v>692307.93962094293</v>
      </c>
      <c r="G20" s="13">
        <f>F20*IF(E20="", Parameters!$B$2, E20)</f>
        <v>1107692703.3935087</v>
      </c>
      <c r="H20" s="2">
        <f>G20*Parameters!$B$4</f>
        <v>28800010.288231224</v>
      </c>
      <c r="I20" s="2">
        <f>1/POWER(1+Parameters!$B$5, A20)</f>
        <v>0.16350799082655781</v>
      </c>
      <c r="J20" s="6">
        <f t="shared" si="0"/>
        <v>4709031.818012882</v>
      </c>
      <c r="K20" s="6">
        <f>SUM($G$2:G20)</f>
        <v>21046161364.476665</v>
      </c>
      <c r="L20">
        <f t="shared" si="1"/>
        <v>657692.54263989569</v>
      </c>
      <c r="M20" s="14">
        <f>L20*IF(E20="",Parameters!$B$2,E20)</f>
        <v>1052308068.2238331</v>
      </c>
      <c r="N20" s="17">
        <f t="shared" si="2"/>
        <v>26412932.512418211</v>
      </c>
      <c r="O20" s="17">
        <f t="shared" si="3"/>
        <v>4318725.5269429674</v>
      </c>
    </row>
    <row r="21" spans="1:15">
      <c r="A21" s="2">
        <v>20</v>
      </c>
      <c r="B21" s="2">
        <v>13000000</v>
      </c>
      <c r="C21" s="2">
        <v>2.02</v>
      </c>
      <c r="D21" s="2">
        <v>0.82</v>
      </c>
      <c r="E21" s="2">
        <v>1600</v>
      </c>
      <c r="F21" s="2">
        <f>IFERROR(B21*C21*IF(D21="", Parameters!$B$2, D21)/Parameters!$B$6, 0)</f>
        <v>692307.93962094293</v>
      </c>
      <c r="G21" s="13">
        <f>F21*IF(E21="", Parameters!$B$2, E21)</f>
        <v>1107692703.3935087</v>
      </c>
      <c r="H21" s="2">
        <f>G21*Parameters!$B$4</f>
        <v>28800010.288231224</v>
      </c>
      <c r="I21" s="2">
        <f>1/POWER(1+Parameters!$B$5, A21)</f>
        <v>0.14864362802414349</v>
      </c>
      <c r="J21" s="6">
        <f t="shared" si="0"/>
        <v>4280938.016375348</v>
      </c>
      <c r="K21" s="6">
        <f>SUM($G$2:G21)</f>
        <v>22153854067.870174</v>
      </c>
      <c r="L21">
        <f t="shared" si="1"/>
        <v>657692.54263989569</v>
      </c>
      <c r="M21" s="14">
        <f>L21*IF(E21="",Parameters!$B$2,E21)</f>
        <v>1052308068.2238331</v>
      </c>
      <c r="N21" s="17">
        <f t="shared" si="2"/>
        <v>26412932.512418211</v>
      </c>
      <c r="O21" s="17">
        <f t="shared" si="3"/>
        <v>3926114.1154026985</v>
      </c>
    </row>
    <row r="22" spans="1:15">
      <c r="A22" s="2">
        <v>21</v>
      </c>
      <c r="B22" s="2">
        <v>13000000</v>
      </c>
      <c r="C22" s="2">
        <v>2.02</v>
      </c>
      <c r="D22" s="2">
        <v>0.82</v>
      </c>
      <c r="E22" s="2">
        <v>1600</v>
      </c>
      <c r="F22" s="2">
        <f>IFERROR(B22*C22*IF(D22="", Parameters!$B$2, D22)/Parameters!$B$6, 0)</f>
        <v>692307.93962094293</v>
      </c>
      <c r="G22" s="13">
        <f>F22*IF(E22="", Parameters!$B$2, E22)</f>
        <v>1107692703.3935087</v>
      </c>
      <c r="H22" s="2">
        <f>G22*Parameters!$B$4</f>
        <v>28800010.288231224</v>
      </c>
      <c r="I22" s="2">
        <f>1/POWER(1+Parameters!$B$5, A22)</f>
        <v>0.13513057093103953</v>
      </c>
      <c r="J22" s="6">
        <f t="shared" si="0"/>
        <v>3891761.8330684975</v>
      </c>
      <c r="K22" s="6">
        <f>SUM($G$2:G22)</f>
        <v>23261546771.263683</v>
      </c>
      <c r="L22">
        <f t="shared" si="1"/>
        <v>657692.54263989569</v>
      </c>
      <c r="M22" s="14">
        <f>L22*IF(E22="",Parameters!$B$2,E22)</f>
        <v>1052308068.2238331</v>
      </c>
      <c r="N22" s="17">
        <f t="shared" si="2"/>
        <v>26412932.512418211</v>
      </c>
      <c r="O22" s="17">
        <f t="shared" si="3"/>
        <v>3569194.6503660893</v>
      </c>
    </row>
    <row r="23" spans="1:15">
      <c r="A23" s="2">
        <v>22</v>
      </c>
      <c r="B23" s="2">
        <v>13000000</v>
      </c>
      <c r="C23" s="2">
        <v>2.02</v>
      </c>
      <c r="D23" s="2">
        <v>0.82</v>
      </c>
      <c r="E23" s="2">
        <v>1600</v>
      </c>
      <c r="F23" s="2">
        <f>IFERROR(B23*C23*IF(D23="", Parameters!$B$2, D23)/Parameters!$B$6, 0)</f>
        <v>692307.93962094293</v>
      </c>
      <c r="G23" s="13">
        <f>F23*IF(E23="", Parameters!$B$2, E23)</f>
        <v>1107692703.3935087</v>
      </c>
      <c r="H23" s="2">
        <f>G23*Parameters!$B$4</f>
        <v>28800010.288231224</v>
      </c>
      <c r="I23" s="2">
        <f>1/POWER(1+Parameters!$B$5, A23)</f>
        <v>0.12284597357367227</v>
      </c>
      <c r="J23" s="6">
        <f t="shared" si="0"/>
        <v>3537965.3027895424</v>
      </c>
      <c r="K23" s="6">
        <f>SUM($G$2:G23)</f>
        <v>24369239474.657192</v>
      </c>
      <c r="L23">
        <f t="shared" si="1"/>
        <v>657692.54263989569</v>
      </c>
      <c r="M23" s="14">
        <f>L23*IF(E23="",Parameters!$B$2,E23)</f>
        <v>1052308068.2238331</v>
      </c>
      <c r="N23" s="17">
        <f t="shared" si="2"/>
        <v>26412932.512418211</v>
      </c>
      <c r="O23" s="17">
        <f t="shared" si="3"/>
        <v>3244722.4094237168</v>
      </c>
    </row>
    <row r="24" spans="1:15">
      <c r="A24" s="2">
        <v>23</v>
      </c>
      <c r="B24" s="2">
        <v>13000000</v>
      </c>
      <c r="C24" s="2">
        <v>2.02</v>
      </c>
      <c r="D24" s="2">
        <v>0.82</v>
      </c>
      <c r="E24" s="2">
        <v>1600</v>
      </c>
      <c r="F24" s="2">
        <f>IFERROR(B24*C24*IF(D24="", Parameters!$B$2, D24)/Parameters!$B$6, 0)</f>
        <v>692307.93962094293</v>
      </c>
      <c r="G24" s="13">
        <f>F24*IF(E24="", Parameters!$B$2, E24)</f>
        <v>1107692703.3935087</v>
      </c>
      <c r="H24" s="2">
        <f>G24*Parameters!$B$4</f>
        <v>28800010.288231224</v>
      </c>
      <c r="I24" s="2">
        <f>1/POWER(1+Parameters!$B$5, A24)</f>
        <v>0.11167815779424752</v>
      </c>
      <c r="J24" s="6">
        <f t="shared" si="0"/>
        <v>3216332.0934450384</v>
      </c>
      <c r="K24" s="6">
        <f>SUM($G$2:G24)</f>
        <v>25476932178.050701</v>
      </c>
      <c r="L24">
        <f t="shared" si="1"/>
        <v>657692.54263989569</v>
      </c>
      <c r="M24" s="14">
        <f>L24*IF(E24="",Parameters!$B$2,E24)</f>
        <v>1052308068.2238331</v>
      </c>
      <c r="N24" s="17">
        <f t="shared" si="2"/>
        <v>26412932.512418211</v>
      </c>
      <c r="O24" s="17">
        <f t="shared" si="3"/>
        <v>2949747.6449306514</v>
      </c>
    </row>
    <row r="25" spans="1:15">
      <c r="A25" s="2">
        <v>24</v>
      </c>
      <c r="B25" s="2">
        <v>13000000</v>
      </c>
      <c r="C25" s="2">
        <v>2.02</v>
      </c>
      <c r="D25" s="2">
        <v>0.82</v>
      </c>
      <c r="E25" s="2">
        <v>1600</v>
      </c>
      <c r="F25" s="2">
        <f>IFERROR(B25*C25*IF(D25="", Parameters!$B$2, D25)/Parameters!$B$6, 0)</f>
        <v>692307.93962094293</v>
      </c>
      <c r="G25" s="13">
        <f>F25*IF(E25="", Parameters!$B$2, E25)</f>
        <v>1107692703.3935087</v>
      </c>
      <c r="H25" s="2">
        <f>G25*Parameters!$B$4</f>
        <v>28800010.288231224</v>
      </c>
      <c r="I25" s="2">
        <f>1/POWER(1+Parameters!$B$5, A25)</f>
        <v>0.10152559799477048</v>
      </c>
      <c r="J25" s="6">
        <f t="shared" si="0"/>
        <v>2923938.2667682171</v>
      </c>
      <c r="K25" s="6">
        <f>SUM($G$2:G25)</f>
        <v>26584624881.44421</v>
      </c>
      <c r="L25">
        <f t="shared" si="1"/>
        <v>657692.54263989569</v>
      </c>
      <c r="M25" s="14">
        <f>L25*IF(E25="",Parameters!$B$2,E25)</f>
        <v>1052308068.2238331</v>
      </c>
      <c r="N25" s="17">
        <f t="shared" si="2"/>
        <v>26412932.512418211</v>
      </c>
      <c r="O25" s="17">
        <f t="shared" si="3"/>
        <v>2681588.7681187745</v>
      </c>
    </row>
    <row r="26" spans="1:15">
      <c r="A26" s="2">
        <v>25</v>
      </c>
      <c r="B26" s="2">
        <v>13000000</v>
      </c>
      <c r="C26" s="2">
        <v>2.02</v>
      </c>
      <c r="D26" s="2">
        <v>0.82</v>
      </c>
      <c r="E26" s="2">
        <v>1600</v>
      </c>
      <c r="F26" s="2">
        <f>IFERROR(B26*C26*IF(D26="", Parameters!$B$2, D26)/Parameters!$B$6, 0)</f>
        <v>692307.93962094293</v>
      </c>
      <c r="G26" s="13">
        <f>F26*IF(E26="", Parameters!$B$2, E26)</f>
        <v>1107692703.3935087</v>
      </c>
      <c r="H26" s="2">
        <f>G26*Parameters!$B$4</f>
        <v>28800010.288231224</v>
      </c>
      <c r="I26" s="2">
        <f>1/POWER(1+Parameters!$B$5, A26)</f>
        <v>9.2295998177064048E-2</v>
      </c>
      <c r="J26" s="6">
        <f t="shared" si="0"/>
        <v>2658125.6970620151</v>
      </c>
      <c r="K26" s="6">
        <f>SUM($G$2:G26)</f>
        <v>27692317584.837719</v>
      </c>
      <c r="L26">
        <f t="shared" si="1"/>
        <v>657692.54263989569</v>
      </c>
      <c r="M26" s="14">
        <f>L26*IF(E26="",Parameters!$B$2,E26)</f>
        <v>1052308068.2238331</v>
      </c>
      <c r="N26" s="17">
        <f t="shared" si="2"/>
        <v>26412932.512418211</v>
      </c>
      <c r="O26" s="17">
        <f t="shared" si="3"/>
        <v>2437807.9710170669</v>
      </c>
    </row>
    <row r="27" spans="1:15">
      <c r="A27" s="2">
        <v>26</v>
      </c>
      <c r="B27" s="2">
        <v>13000000</v>
      </c>
      <c r="C27" s="2">
        <v>2.02</v>
      </c>
      <c r="D27" s="2">
        <v>0.82</v>
      </c>
      <c r="E27" s="2">
        <v>1600</v>
      </c>
      <c r="F27" s="2">
        <f>IFERROR(B27*C27*IF(D27="", Parameters!$B$2, D27)/Parameters!$B$6, 0)</f>
        <v>692307.93962094293</v>
      </c>
      <c r="G27" s="13">
        <f>F27*IF(E27="", Parameters!$B$2, E27)</f>
        <v>1107692703.3935087</v>
      </c>
      <c r="H27" s="2">
        <f>G27*Parameters!$B$4</f>
        <v>28800010.288231224</v>
      </c>
      <c r="I27" s="2">
        <f>1/POWER(1+Parameters!$B$5, A27)</f>
        <v>8.3905452888240042E-2</v>
      </c>
      <c r="J27" s="6">
        <f t="shared" si="0"/>
        <v>2416477.9064200134</v>
      </c>
      <c r="K27" s="6">
        <f>SUM($G$2:G27)</f>
        <v>28800010288.231228</v>
      </c>
      <c r="L27">
        <f t="shared" si="1"/>
        <v>657692.54263989569</v>
      </c>
      <c r="M27" s="14">
        <f>L27*IF(E27="",Parameters!$B$2,E27)</f>
        <v>1052308068.2238331</v>
      </c>
      <c r="N27" s="17">
        <f t="shared" si="2"/>
        <v>26412932.512418211</v>
      </c>
      <c r="O27" s="17">
        <f t="shared" si="3"/>
        <v>2216189.0645609698</v>
      </c>
    </row>
    <row r="28" spans="1:15">
      <c r="A28" s="2">
        <v>27</v>
      </c>
      <c r="B28" s="2">
        <v>13000000</v>
      </c>
      <c r="C28" s="2">
        <v>2.02</v>
      </c>
      <c r="D28" s="2">
        <v>0.82</v>
      </c>
      <c r="E28" s="2">
        <v>1600</v>
      </c>
      <c r="F28" s="2">
        <f>IFERROR(B28*C28*IF(D28="", Parameters!$B$2, D28)/Parameters!$B$6, 0)</f>
        <v>692307.93962094293</v>
      </c>
      <c r="G28" s="13">
        <f>F28*IF(E28="", Parameters!$B$2, E28)</f>
        <v>1107692703.3935087</v>
      </c>
      <c r="H28" s="2">
        <f>G28*Parameters!$B$4</f>
        <v>28800010.288231224</v>
      </c>
      <c r="I28" s="2">
        <f>1/POWER(1+Parameters!$B$5, A28)</f>
        <v>7.6277684443854576E-2</v>
      </c>
      <c r="J28" s="6">
        <f t="shared" si="0"/>
        <v>2196798.0967454663</v>
      </c>
      <c r="K28" s="6">
        <f>SUM($G$2:G28)</f>
        <v>29907702991.624737</v>
      </c>
      <c r="L28">
        <f t="shared" si="1"/>
        <v>657692.54263989569</v>
      </c>
      <c r="M28" s="14">
        <f>L28*IF(E28="",Parameters!$B$2,E28)</f>
        <v>1052308068.2238331</v>
      </c>
      <c r="N28" s="17">
        <f t="shared" si="2"/>
        <v>26412932.512418211</v>
      </c>
      <c r="O28" s="17">
        <f t="shared" si="3"/>
        <v>2014717.3314190633</v>
      </c>
    </row>
    <row r="29" spans="1:15">
      <c r="A29" s="2">
        <v>28</v>
      </c>
      <c r="B29" s="2">
        <v>13000000</v>
      </c>
      <c r="C29" s="2">
        <v>2.02</v>
      </c>
      <c r="D29" s="2">
        <v>0.82</v>
      </c>
      <c r="E29" s="2">
        <v>1600</v>
      </c>
      <c r="F29" s="2">
        <f>IFERROR(B29*C29*IF(D29="", Parameters!$B$2, D29)/Parameters!$B$6, 0)</f>
        <v>692307.93962094293</v>
      </c>
      <c r="G29" s="13">
        <f>F29*IF(E29="", Parameters!$B$2, E29)</f>
        <v>1107692703.3935087</v>
      </c>
      <c r="H29" s="2">
        <f>G29*Parameters!$B$4</f>
        <v>28800010.288231224</v>
      </c>
      <c r="I29" s="2">
        <f>1/POWER(1+Parameters!$B$5, A29)</f>
        <v>6.9343349494413245E-2</v>
      </c>
      <c r="J29" s="6">
        <f t="shared" si="0"/>
        <v>1997089.1788595149</v>
      </c>
      <c r="K29" s="6">
        <f>SUM($G$2:G29)</f>
        <v>31015395695.018246</v>
      </c>
      <c r="L29">
        <f t="shared" si="1"/>
        <v>657692.54263989569</v>
      </c>
      <c r="M29" s="14">
        <f>L29*IF(E29="",Parameters!$B$2,E29)</f>
        <v>1052308068.2238331</v>
      </c>
      <c r="N29" s="17">
        <f t="shared" si="2"/>
        <v>26412932.512418211</v>
      </c>
      <c r="O29" s="17">
        <f t="shared" si="3"/>
        <v>1831561.2103809665</v>
      </c>
    </row>
    <row r="30" spans="1:15">
      <c r="A30" s="2">
        <v>29</v>
      </c>
      <c r="B30" s="2">
        <v>13000000</v>
      </c>
      <c r="C30" s="2">
        <v>2.02</v>
      </c>
      <c r="D30" s="2">
        <v>0.82</v>
      </c>
      <c r="E30" s="2">
        <v>1600</v>
      </c>
      <c r="F30" s="2">
        <f>IFERROR(B30*C30*IF(D30="", Parameters!$B$2, D30)/Parameters!$B$6, 0)</f>
        <v>692307.93962094293</v>
      </c>
      <c r="G30" s="13">
        <f>F30*IF(E30="", Parameters!$B$2, E30)</f>
        <v>1107692703.3935087</v>
      </c>
      <c r="H30" s="2">
        <f>G30*Parameters!$B$4</f>
        <v>28800010.288231224</v>
      </c>
      <c r="I30" s="2">
        <f>1/POWER(1+Parameters!$B$5, A30)</f>
        <v>6.3039408631284766E-2</v>
      </c>
      <c r="J30" s="6">
        <f t="shared" si="0"/>
        <v>1815535.6171450135</v>
      </c>
      <c r="K30" s="6">
        <f>SUM($G$2:G30)</f>
        <v>32123088398.411755</v>
      </c>
      <c r="L30">
        <f t="shared" si="1"/>
        <v>657692.54263989569</v>
      </c>
      <c r="M30" s="14">
        <f>L30*IF(E30="",Parameters!$B$2,E30)</f>
        <v>1052308068.2238331</v>
      </c>
      <c r="N30" s="17">
        <f t="shared" si="2"/>
        <v>26412932.512418211</v>
      </c>
      <c r="O30" s="17">
        <f t="shared" si="3"/>
        <v>1665055.6458008785</v>
      </c>
    </row>
    <row r="31" spans="1:15">
      <c r="A31" s="2">
        <v>30</v>
      </c>
      <c r="B31" s="2">
        <v>13000000</v>
      </c>
      <c r="C31" s="2">
        <v>2.02</v>
      </c>
      <c r="D31" s="2">
        <v>0.82</v>
      </c>
      <c r="E31" s="2">
        <v>1600</v>
      </c>
      <c r="F31" s="2">
        <f>IFERROR(B31*C31*IF(D31="", Parameters!$B$2, D31)/Parameters!$B$6, 0)</f>
        <v>692307.93962094293</v>
      </c>
      <c r="G31" s="13">
        <f>F31*IF(E31="", Parameters!$B$2, E31)</f>
        <v>1107692703.3935087</v>
      </c>
      <c r="H31" s="2">
        <f>G31*Parameters!$B$4</f>
        <v>28800010.288231224</v>
      </c>
      <c r="I31" s="2">
        <f>1/POWER(1+Parameters!$B$5, A31)</f>
        <v>5.7308553301167964E-2</v>
      </c>
      <c r="J31" s="6">
        <f t="shared" si="0"/>
        <v>1650486.9246772849</v>
      </c>
      <c r="K31" s="6">
        <f>SUM($G$2:G31)</f>
        <v>33230781101.805264</v>
      </c>
      <c r="L31">
        <f t="shared" si="1"/>
        <v>657692.54263989569</v>
      </c>
      <c r="M31" s="14">
        <f>L31*IF(E31="",Parameters!$B$2,E31)</f>
        <v>1052308068.2238331</v>
      </c>
      <c r="N31" s="17">
        <f t="shared" si="2"/>
        <v>26412932.512418211</v>
      </c>
      <c r="O31" s="17">
        <f t="shared" si="3"/>
        <v>1513686.9507280714</v>
      </c>
    </row>
    <row r="32" spans="1:15">
      <c r="A32" s="5">
        <v>31</v>
      </c>
      <c r="B32" s="2">
        <v>13000000</v>
      </c>
      <c r="C32" s="2">
        <v>2.02</v>
      </c>
      <c r="D32" s="2">
        <v>0.82</v>
      </c>
      <c r="E32" s="2">
        <v>1600</v>
      </c>
      <c r="F32" s="2">
        <f>IFERROR(B32*C32*IF(D32="", Parameters!$B$2, D32)/Parameters!$B$6, 0)</f>
        <v>692307.93962094293</v>
      </c>
      <c r="G32" s="13">
        <f>F32*IF(E32="", Parameters!$B$2, E32)</f>
        <v>1107692703.3935087</v>
      </c>
      <c r="H32" s="2">
        <f>G32*Parameters!$B$4</f>
        <v>28800010.288231224</v>
      </c>
      <c r="I32" s="2">
        <f>1/POWER(1+Parameters!$B$5, A32)</f>
        <v>5.2098684819243603E-2</v>
      </c>
      <c r="J32" s="6">
        <f t="shared" si="0"/>
        <v>1500442.6587975316</v>
      </c>
      <c r="K32" s="6">
        <f>SUM($G$2:G32)</f>
        <v>34338473805.198772</v>
      </c>
      <c r="L32">
        <f t="shared" si="1"/>
        <v>657692.54263989569</v>
      </c>
      <c r="M32" s="14">
        <f>L32*IF(E32="",Parameters!$B$2,E32)</f>
        <v>1052308068.2238331</v>
      </c>
      <c r="N32" s="17">
        <f t="shared" si="2"/>
        <v>26412932.512418211</v>
      </c>
      <c r="O32" s="17">
        <f t="shared" si="3"/>
        <v>1376079.0461164284</v>
      </c>
    </row>
    <row r="33" spans="1:15">
      <c r="A33" s="5">
        <v>32</v>
      </c>
      <c r="B33" s="2">
        <v>13000000</v>
      </c>
      <c r="C33" s="2">
        <v>2.02</v>
      </c>
      <c r="D33" s="2">
        <v>0.82</v>
      </c>
      <c r="E33" s="2">
        <v>1600</v>
      </c>
      <c r="F33" s="2">
        <f>IFERROR(B33*C33*IF(D33="", Parameters!$B$2, D33)/Parameters!$B$6, 0)</f>
        <v>692307.93962094293</v>
      </c>
      <c r="G33" s="13">
        <f>F33*IF(E33="", Parameters!$B$2, E33)</f>
        <v>1107692703.3935087</v>
      </c>
      <c r="H33" s="2">
        <f>G33*Parameters!$B$4</f>
        <v>28800010.288231224</v>
      </c>
      <c r="I33" s="2">
        <f>1/POWER(1+Parameters!$B$5, A33)</f>
        <v>4.7362440744766907E-2</v>
      </c>
      <c r="J33" s="6">
        <f t="shared" si="0"/>
        <v>1364038.7807250286</v>
      </c>
      <c r="K33" s="6">
        <f>SUM($G$2:G33)</f>
        <v>35446166508.592278</v>
      </c>
      <c r="L33">
        <f t="shared" si="1"/>
        <v>657692.54263989569</v>
      </c>
      <c r="M33" s="14">
        <f>L33*IF(E33="",Parameters!$B$2,E33)</f>
        <v>1052308068.2238331</v>
      </c>
      <c r="N33" s="17">
        <f t="shared" si="2"/>
        <v>26412932.512418211</v>
      </c>
      <c r="O33" s="17">
        <f t="shared" si="3"/>
        <v>1250980.9510149348</v>
      </c>
    </row>
    <row r="39" spans="1:15">
      <c r="F39" s="3" t="s">
        <v>15</v>
      </c>
      <c r="G39" s="10">
        <f>SUM(G2:G33)</f>
        <v>35446166508.592278</v>
      </c>
      <c r="H39">
        <f>SUM(H2:H33)</f>
        <v>921600329.22339976</v>
      </c>
      <c r="J39" s="11">
        <f>SUM(J2:J33)</f>
        <v>274359715.07506168</v>
      </c>
      <c r="O39" s="11">
        <f>SUM(O2:O33)</f>
        <v>251619515.61403251</v>
      </c>
    </row>
    <row r="40" spans="1:15">
      <c r="F40" s="3" t="s">
        <v>16</v>
      </c>
      <c r="G40" s="10">
        <f>G39</f>
        <v>35446166508.592278</v>
      </c>
    </row>
    <row r="41" spans="1:15">
      <c r="F41" s="3" t="s">
        <v>17</v>
      </c>
      <c r="G41" s="10">
        <f>H39</f>
        <v>921600329.22339976</v>
      </c>
    </row>
    <row r="42" spans="1:15">
      <c r="F42" s="3" t="s">
        <v>9</v>
      </c>
      <c r="G42" s="10">
        <f>J39</f>
        <v>274359715.07506168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F754-0B69-4783-BE5D-88755337C9BC}">
  <sheetPr codeName="Sheet5"/>
  <dimension ref="A1:O42"/>
  <sheetViews>
    <sheetView topLeftCell="A10" workbookViewId="0">
      <pane xSplit="1" topLeftCell="E1" activePane="topRight" state="frozen"/>
      <selection pane="topRight" activeCell="G42" sqref="G42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14000000</v>
      </c>
      <c r="C2" s="15">
        <v>1.952</v>
      </c>
      <c r="D2" s="2">
        <v>0.82</v>
      </c>
      <c r="E2" s="2">
        <v>1600</v>
      </c>
      <c r="F2" s="2">
        <f>IFERROR(B2*C2*IF(D2="", Parameters!$B$2, D2)/Parameters!$B$6, 0)</f>
        <v>720464.25643416331</v>
      </c>
      <c r="G2" s="13">
        <f>F2*IF(E2="", Parameters!$B$2, E2)</f>
        <v>1152742810.2946613</v>
      </c>
      <c r="H2" s="2">
        <f>G2*Parameters!$B$4</f>
        <v>29971313.067661192</v>
      </c>
      <c r="I2" s="2">
        <f>1/POWER(1+Parameters!$B$5, A2)</f>
        <v>0.90909090909090906</v>
      </c>
      <c r="J2" s="6">
        <f t="shared" ref="J2:J34" si="0">H2*I2</f>
        <v>27246648.243328355</v>
      </c>
      <c r="K2" s="6">
        <f>SUM($G$2:G2)</f>
        <v>1152742810.2946613</v>
      </c>
      <c r="L2">
        <f>F2*0.95</f>
        <v>684441.04361245513</v>
      </c>
      <c r="M2" s="14">
        <f>L2*IF(E2="",Parameters!$B$2,E2)</f>
        <v>1095105669.7799282</v>
      </c>
      <c r="N2" s="17">
        <f>M2*0.0251</f>
        <v>27487152.311476197</v>
      </c>
      <c r="O2" s="17">
        <f>N2*I2</f>
        <v>24988320.28316018</v>
      </c>
    </row>
    <row r="3" spans="1:15">
      <c r="A3" s="2">
        <v>2</v>
      </c>
      <c r="B3" s="2">
        <v>14000000</v>
      </c>
      <c r="C3" s="15">
        <v>1.952</v>
      </c>
      <c r="D3" s="2">
        <v>0.82</v>
      </c>
      <c r="E3" s="2">
        <v>1600</v>
      </c>
      <c r="F3" s="2">
        <f>IFERROR(B3*C3*IF(D3="", Parameters!$B$2, D3)/Parameters!$B$6, 0)</f>
        <v>720464.25643416331</v>
      </c>
      <c r="G3" s="13">
        <f>F3*IF(E3="", Parameters!$B$2, E3)</f>
        <v>1152742810.2946613</v>
      </c>
      <c r="H3" s="2">
        <f>G3*Parameters!$B$4</f>
        <v>29971313.067661192</v>
      </c>
      <c r="I3" s="2">
        <f>1/POWER(1+Parameters!$B$5, A3)</f>
        <v>0.82644628099173545</v>
      </c>
      <c r="J3" s="6">
        <f t="shared" si="0"/>
        <v>24769680.221207593</v>
      </c>
      <c r="K3" s="6">
        <f>SUM($G$2:G3)</f>
        <v>2305485620.5893226</v>
      </c>
      <c r="L3">
        <f t="shared" ref="L3:L33" si="1">F3*0.95</f>
        <v>684441.04361245513</v>
      </c>
      <c r="M3" s="14">
        <f>L3*IF(E3="",Parameters!$B$2,E3)</f>
        <v>1095105669.7799282</v>
      </c>
      <c r="N3" s="17">
        <f t="shared" ref="N3:N34" si="2">M3*0.0251</f>
        <v>27487152.311476197</v>
      </c>
      <c r="O3" s="17">
        <f t="shared" ref="O3:O33" si="3">N3*I3</f>
        <v>22716654.802872889</v>
      </c>
    </row>
    <row r="4" spans="1:15">
      <c r="A4" s="2">
        <v>3</v>
      </c>
      <c r="B4" s="2">
        <v>14000000</v>
      </c>
      <c r="C4" s="15">
        <v>1.952</v>
      </c>
      <c r="D4" s="2">
        <v>0.82</v>
      </c>
      <c r="E4" s="2">
        <v>1600</v>
      </c>
      <c r="F4" s="2">
        <f>IFERROR(B4*C4*IF(D4="", Parameters!$B$2, D4)/Parameters!$B$6, 0)</f>
        <v>720464.25643416331</v>
      </c>
      <c r="G4" s="13">
        <f>F4*IF(E4="", Parameters!$B$2, E4)</f>
        <v>1152742810.2946613</v>
      </c>
      <c r="H4" s="2">
        <f>G4*Parameters!$B$4</f>
        <v>29971313.067661192</v>
      </c>
      <c r="I4" s="2">
        <f>1/POWER(1+Parameters!$B$5, A4)</f>
        <v>0.75131480090157754</v>
      </c>
      <c r="J4" s="6">
        <f t="shared" si="0"/>
        <v>22517891.110188719</v>
      </c>
      <c r="K4" s="6">
        <f>SUM($G$2:G4)</f>
        <v>3458228430.8839836</v>
      </c>
      <c r="L4">
        <f t="shared" si="1"/>
        <v>684441.04361245513</v>
      </c>
      <c r="M4" s="14">
        <f>L4*IF(E4="",Parameters!$B$2,E4)</f>
        <v>1095105669.7799282</v>
      </c>
      <c r="N4" s="17">
        <f t="shared" si="2"/>
        <v>27487152.311476197</v>
      </c>
      <c r="O4" s="17">
        <f t="shared" si="3"/>
        <v>20651504.366248075</v>
      </c>
    </row>
    <row r="5" spans="1:15">
      <c r="A5" s="2">
        <v>4</v>
      </c>
      <c r="B5" s="2">
        <v>14000000</v>
      </c>
      <c r="C5" s="15">
        <v>1.952</v>
      </c>
      <c r="D5" s="2">
        <v>0.82</v>
      </c>
      <c r="E5" s="2">
        <v>1600</v>
      </c>
      <c r="F5" s="2">
        <f>IFERROR(B5*C5*IF(D5="", Parameters!$B$2, D5)/Parameters!$B$6, 0)</f>
        <v>720464.25643416331</v>
      </c>
      <c r="G5" s="13">
        <f>F5*IF(E5="", Parameters!$B$2, E5)</f>
        <v>1152742810.2946613</v>
      </c>
      <c r="H5" s="2">
        <f>G5*Parameters!$B$4</f>
        <v>29971313.067661192</v>
      </c>
      <c r="I5" s="2">
        <f>1/POWER(1+Parameters!$B$5, A5)</f>
        <v>0.68301345536507052</v>
      </c>
      <c r="J5" s="6">
        <f t="shared" si="0"/>
        <v>20470810.100171562</v>
      </c>
      <c r="K5" s="6">
        <f>SUM($G$2:G5)</f>
        <v>4610971241.1786451</v>
      </c>
      <c r="L5">
        <f t="shared" si="1"/>
        <v>684441.04361245513</v>
      </c>
      <c r="M5" s="14">
        <f>L5*IF(E5="",Parameters!$B$2,E5)</f>
        <v>1095105669.7799282</v>
      </c>
      <c r="N5" s="17">
        <f t="shared" si="2"/>
        <v>27487152.311476197</v>
      </c>
      <c r="O5" s="17">
        <f t="shared" si="3"/>
        <v>18774094.878407344</v>
      </c>
    </row>
    <row r="6" spans="1:15">
      <c r="A6" s="2">
        <v>5</v>
      </c>
      <c r="B6" s="2">
        <v>14000000</v>
      </c>
      <c r="C6" s="15">
        <v>1.952</v>
      </c>
      <c r="D6" s="2">
        <v>0.82</v>
      </c>
      <c r="E6" s="2">
        <v>1600</v>
      </c>
      <c r="F6" s="2">
        <f>IFERROR(B6*C6*IF(D6="", Parameters!$B$2, D6)/Parameters!$B$6, 0)</f>
        <v>720464.25643416331</v>
      </c>
      <c r="G6" s="13">
        <f>F6*IF(E6="", Parameters!$B$2, E6)</f>
        <v>1152742810.2946613</v>
      </c>
      <c r="H6" s="2">
        <f>G6*Parameters!$B$4</f>
        <v>29971313.067661192</v>
      </c>
      <c r="I6" s="2">
        <f>1/POWER(1+Parameters!$B$5, A6)</f>
        <v>0.62092132305915493</v>
      </c>
      <c r="J6" s="6">
        <f t="shared" si="0"/>
        <v>18609827.363792326</v>
      </c>
      <c r="K6" s="6">
        <f>SUM($G$2:G6)</f>
        <v>5763714051.4733067</v>
      </c>
      <c r="L6">
        <f t="shared" si="1"/>
        <v>684441.04361245513</v>
      </c>
      <c r="M6" s="14">
        <f>L6*IF(E6="",Parameters!$B$2,E6)</f>
        <v>1095105669.7799282</v>
      </c>
      <c r="N6" s="17">
        <f t="shared" si="2"/>
        <v>27487152.311476197</v>
      </c>
      <c r="O6" s="17">
        <f t="shared" si="3"/>
        <v>17067358.980370309</v>
      </c>
    </row>
    <row r="7" spans="1:15">
      <c r="A7" s="2">
        <v>6</v>
      </c>
      <c r="B7" s="2">
        <v>14000000</v>
      </c>
      <c r="C7" s="15">
        <v>1.952</v>
      </c>
      <c r="D7" s="2">
        <v>0.82</v>
      </c>
      <c r="E7" s="2">
        <v>1600</v>
      </c>
      <c r="F7" s="2">
        <f>IFERROR(B7*C7*IF(D7="", Parameters!$B$2, D7)/Parameters!$B$6, 0)</f>
        <v>720464.25643416331</v>
      </c>
      <c r="G7" s="13">
        <f>F7*IF(E7="", Parameters!$B$2, E7)</f>
        <v>1152742810.2946613</v>
      </c>
      <c r="H7" s="2">
        <f>G7*Parameters!$B$4</f>
        <v>29971313.067661192</v>
      </c>
      <c r="I7" s="2">
        <f>1/POWER(1+Parameters!$B$5, A7)</f>
        <v>0.56447393005377722</v>
      </c>
      <c r="J7" s="6">
        <f t="shared" si="0"/>
        <v>16918024.876174841</v>
      </c>
      <c r="K7" s="6">
        <f>SUM($G$2:G7)</f>
        <v>6916456861.7679682</v>
      </c>
      <c r="L7">
        <f t="shared" si="1"/>
        <v>684441.04361245513</v>
      </c>
      <c r="M7" s="14">
        <f>L7*IF(E7="",Parameters!$B$2,E7)</f>
        <v>1095105669.7799282</v>
      </c>
      <c r="N7" s="17">
        <f t="shared" si="2"/>
        <v>27487152.311476197</v>
      </c>
      <c r="O7" s="17">
        <f t="shared" si="3"/>
        <v>15515780.891245736</v>
      </c>
    </row>
    <row r="8" spans="1:15">
      <c r="A8" s="2">
        <v>7</v>
      </c>
      <c r="B8" s="2">
        <v>14000000</v>
      </c>
      <c r="C8" s="15">
        <v>1.952</v>
      </c>
      <c r="D8" s="2">
        <v>0.82</v>
      </c>
      <c r="E8" s="2">
        <v>1600</v>
      </c>
      <c r="F8" s="2">
        <f>IFERROR(B8*C8*IF(D8="", Parameters!$B$2, D8)/Parameters!$B$6, 0)</f>
        <v>720464.25643416331</v>
      </c>
      <c r="G8" s="13">
        <f>F8*IF(E8="", Parameters!$B$2, E8)</f>
        <v>1152742810.2946613</v>
      </c>
      <c r="H8" s="2">
        <f>G8*Parameters!$B$4</f>
        <v>29971313.067661192</v>
      </c>
      <c r="I8" s="2">
        <f>1/POWER(1+Parameters!$B$5, A8)</f>
        <v>0.51315811823070645</v>
      </c>
      <c r="J8" s="6">
        <f t="shared" si="0"/>
        <v>15380022.614704398</v>
      </c>
      <c r="K8" s="6">
        <f>SUM($G$2:G8)</f>
        <v>8069199672.0626297</v>
      </c>
      <c r="L8">
        <f t="shared" si="1"/>
        <v>684441.04361245513</v>
      </c>
      <c r="M8" s="14">
        <f>L8*IF(E8="",Parameters!$B$2,E8)</f>
        <v>1095105669.7799282</v>
      </c>
      <c r="N8" s="17">
        <f t="shared" si="2"/>
        <v>27487152.311476197</v>
      </c>
      <c r="O8" s="17">
        <f t="shared" si="3"/>
        <v>14105255.355677938</v>
      </c>
    </row>
    <row r="9" spans="1:15">
      <c r="A9" s="2">
        <v>8</v>
      </c>
      <c r="B9" s="2">
        <v>14000000</v>
      </c>
      <c r="C9" s="15">
        <v>1.952</v>
      </c>
      <c r="D9" s="2">
        <v>0.82</v>
      </c>
      <c r="E9" s="2">
        <v>1600</v>
      </c>
      <c r="F9" s="2">
        <f>IFERROR(B9*C9*IF(D9="", Parameters!$B$2, D9)/Parameters!$B$6, 0)</f>
        <v>720464.25643416331</v>
      </c>
      <c r="G9" s="13">
        <f>F9*IF(E9="", Parameters!$B$2, E9)</f>
        <v>1152742810.2946613</v>
      </c>
      <c r="H9" s="2">
        <f>G9*Parameters!$B$4</f>
        <v>29971313.067661192</v>
      </c>
      <c r="I9" s="2">
        <f>1/POWER(1+Parameters!$B$5, A9)</f>
        <v>0.46650738020973315</v>
      </c>
      <c r="J9" s="6">
        <f t="shared" si="0"/>
        <v>13981838.740640363</v>
      </c>
      <c r="K9" s="6">
        <f>SUM($G$2:G9)</f>
        <v>9221942482.3572903</v>
      </c>
      <c r="L9">
        <f t="shared" si="1"/>
        <v>684441.04361245513</v>
      </c>
      <c r="M9" s="14">
        <f>L9*IF(E9="",Parameters!$B$2,E9)</f>
        <v>1095105669.7799282</v>
      </c>
      <c r="N9" s="17">
        <f t="shared" si="2"/>
        <v>27487152.311476197</v>
      </c>
      <c r="O9" s="17">
        <f t="shared" si="3"/>
        <v>12822959.414252672</v>
      </c>
    </row>
    <row r="10" spans="1:15">
      <c r="A10" s="2">
        <v>9</v>
      </c>
      <c r="B10" s="2">
        <v>14000000</v>
      </c>
      <c r="C10" s="15">
        <v>1.952</v>
      </c>
      <c r="D10" s="2">
        <v>0.82</v>
      </c>
      <c r="E10" s="2">
        <v>1600</v>
      </c>
      <c r="F10" s="2">
        <f>IFERROR(B10*C10*IF(D10="", Parameters!$B$2, D10)/Parameters!$B$6, 0)</f>
        <v>720464.25643416331</v>
      </c>
      <c r="G10" s="13">
        <f>F10*IF(E10="", Parameters!$B$2, E10)</f>
        <v>1152742810.2946613</v>
      </c>
      <c r="H10" s="2">
        <f>G10*Parameters!$B$4</f>
        <v>29971313.067661192</v>
      </c>
      <c r="I10" s="2">
        <f>1/POWER(1+Parameters!$B$5, A10)</f>
        <v>0.42409761837248466</v>
      </c>
      <c r="J10" s="6">
        <f t="shared" si="0"/>
        <v>12710762.49149124</v>
      </c>
      <c r="K10" s="6">
        <f>SUM($G$2:G10)</f>
        <v>10374685292.651951</v>
      </c>
      <c r="L10">
        <f t="shared" si="1"/>
        <v>684441.04361245513</v>
      </c>
      <c r="M10" s="14">
        <f>L10*IF(E10="",Parameters!$B$2,E10)</f>
        <v>1095105669.7799282</v>
      </c>
      <c r="N10" s="17">
        <f t="shared" si="2"/>
        <v>27487152.311476197</v>
      </c>
      <c r="O10" s="17">
        <f t="shared" si="3"/>
        <v>11657235.831138792</v>
      </c>
    </row>
    <row r="11" spans="1:15">
      <c r="A11" s="2">
        <v>10</v>
      </c>
      <c r="B11" s="2">
        <v>14000000</v>
      </c>
      <c r="C11" s="15">
        <v>1.952</v>
      </c>
      <c r="D11" s="2">
        <v>0.82</v>
      </c>
      <c r="E11" s="2">
        <v>1600</v>
      </c>
      <c r="F11" s="2">
        <f>IFERROR(B11*C11*IF(D11="", Parameters!$B$2, D11)/Parameters!$B$6, 0)</f>
        <v>720464.25643416331</v>
      </c>
      <c r="G11" s="13">
        <f>F11*IF(E11="", Parameters!$B$2, E11)</f>
        <v>1152742810.2946613</v>
      </c>
      <c r="H11" s="2">
        <f>G11*Parameters!$B$4</f>
        <v>29971313.067661192</v>
      </c>
      <c r="I11" s="2">
        <f>1/POWER(1+Parameters!$B$5, A11)</f>
        <v>0.38554328942953148</v>
      </c>
      <c r="J11" s="6">
        <f t="shared" si="0"/>
        <v>11555238.628628397</v>
      </c>
      <c r="K11" s="6">
        <f>SUM($G$2:G11)</f>
        <v>11527428102.946611</v>
      </c>
      <c r="L11">
        <f t="shared" si="1"/>
        <v>684441.04361245513</v>
      </c>
      <c r="M11" s="14">
        <f>L11*IF(E11="",Parameters!$B$2,E11)</f>
        <v>1095105669.7799282</v>
      </c>
      <c r="N11" s="17">
        <f t="shared" si="2"/>
        <v>27487152.311476197</v>
      </c>
      <c r="O11" s="17">
        <f t="shared" si="3"/>
        <v>10597487.119217083</v>
      </c>
    </row>
    <row r="12" spans="1:15">
      <c r="A12" s="2">
        <v>11</v>
      </c>
      <c r="B12" s="2">
        <v>14000000</v>
      </c>
      <c r="C12" s="15">
        <v>1.952</v>
      </c>
      <c r="D12" s="2">
        <v>0.82</v>
      </c>
      <c r="E12" s="2">
        <v>1600</v>
      </c>
      <c r="F12" s="2">
        <f>IFERROR(B12*C12*IF(D12="", Parameters!$B$2, D12)/Parameters!$B$6, 0)</f>
        <v>720464.25643416331</v>
      </c>
      <c r="G12" s="13">
        <f>F12*IF(E12="", Parameters!$B$2, E12)</f>
        <v>1152742810.2946613</v>
      </c>
      <c r="H12" s="2">
        <f>G12*Parameters!$B$4</f>
        <v>29971313.067661192</v>
      </c>
      <c r="I12" s="2">
        <f>1/POWER(1+Parameters!$B$5, A12)</f>
        <v>0.3504938994813922</v>
      </c>
      <c r="J12" s="6">
        <f t="shared" si="0"/>
        <v>10504762.389662178</v>
      </c>
      <c r="K12" s="6">
        <f>SUM($G$2:G12)</f>
        <v>12680170913.241272</v>
      </c>
      <c r="L12">
        <f t="shared" si="1"/>
        <v>684441.04361245513</v>
      </c>
      <c r="M12" s="14">
        <f>L12*IF(E12="",Parameters!$B$2,E12)</f>
        <v>1095105669.7799282</v>
      </c>
      <c r="N12" s="17">
        <f t="shared" si="2"/>
        <v>27487152.311476197</v>
      </c>
      <c r="O12" s="17">
        <f t="shared" si="3"/>
        <v>9634079.1992882546</v>
      </c>
    </row>
    <row r="13" spans="1:15">
      <c r="A13" s="2">
        <v>12</v>
      </c>
      <c r="B13" s="2">
        <v>14000000</v>
      </c>
      <c r="C13" s="15">
        <v>1.952</v>
      </c>
      <c r="D13" s="2">
        <v>0.82</v>
      </c>
      <c r="E13" s="2">
        <v>1600</v>
      </c>
      <c r="F13" s="2">
        <f>IFERROR(B13*C13*IF(D13="", Parameters!$B$2, D13)/Parameters!$B$6, 0)</f>
        <v>720464.25643416331</v>
      </c>
      <c r="G13" s="13">
        <f>F13*IF(E13="", Parameters!$B$2, E13)</f>
        <v>1152742810.2946613</v>
      </c>
      <c r="H13" s="2">
        <f>G13*Parameters!$B$4</f>
        <v>29971313.067661192</v>
      </c>
      <c r="I13" s="2">
        <f>1/POWER(1+Parameters!$B$5, A13)</f>
        <v>0.31863081771035656</v>
      </c>
      <c r="J13" s="6">
        <f t="shared" si="0"/>
        <v>9549783.9906019811</v>
      </c>
      <c r="K13" s="6">
        <f>SUM($G$2:G13)</f>
        <v>13832913723.535933</v>
      </c>
      <c r="L13">
        <f t="shared" si="1"/>
        <v>684441.04361245513</v>
      </c>
      <c r="M13" s="14">
        <f>L13*IF(E13="",Parameters!$B$2,E13)</f>
        <v>1095105669.7799282</v>
      </c>
      <c r="N13" s="17">
        <f t="shared" si="2"/>
        <v>27487152.311476197</v>
      </c>
      <c r="O13" s="17">
        <f t="shared" si="3"/>
        <v>8758253.8175347783</v>
      </c>
    </row>
    <row r="14" spans="1:15">
      <c r="A14" s="2">
        <v>13</v>
      </c>
      <c r="B14" s="2">
        <v>14000000</v>
      </c>
      <c r="C14" s="15">
        <v>1.952</v>
      </c>
      <c r="D14" s="2">
        <v>0.82</v>
      </c>
      <c r="E14" s="2">
        <v>1600</v>
      </c>
      <c r="F14" s="2">
        <f>IFERROR(B14*C14*IF(D14="", Parameters!$B$2, D14)/Parameters!$B$6, 0)</f>
        <v>720464.25643416331</v>
      </c>
      <c r="G14" s="13">
        <f>F14*IF(E14="", Parameters!$B$2, E14)</f>
        <v>1152742810.2946613</v>
      </c>
      <c r="H14" s="2">
        <f>G14*Parameters!$B$4</f>
        <v>29971313.067661192</v>
      </c>
      <c r="I14" s="2">
        <f>1/POWER(1+Parameters!$B$5, A14)</f>
        <v>0.28966437973668779</v>
      </c>
      <c r="J14" s="6">
        <f t="shared" si="0"/>
        <v>8681621.8096381649</v>
      </c>
      <c r="K14" s="6">
        <f>SUM($G$2:G14)</f>
        <v>14985656533.830593</v>
      </c>
      <c r="L14">
        <f t="shared" si="1"/>
        <v>684441.04361245513</v>
      </c>
      <c r="M14" s="14">
        <f>L14*IF(E14="",Parameters!$B$2,E14)</f>
        <v>1095105669.7799282</v>
      </c>
      <c r="N14" s="17">
        <f t="shared" si="2"/>
        <v>27487152.311476197</v>
      </c>
      <c r="O14" s="17">
        <f t="shared" si="3"/>
        <v>7962048.9250316164</v>
      </c>
    </row>
    <row r="15" spans="1:15">
      <c r="A15" s="2">
        <v>14</v>
      </c>
      <c r="B15" s="2">
        <v>14000000</v>
      </c>
      <c r="C15" s="15">
        <v>1.952</v>
      </c>
      <c r="D15" s="2">
        <v>0.82</v>
      </c>
      <c r="E15" s="2">
        <v>1600</v>
      </c>
      <c r="F15" s="2">
        <f>IFERROR(B15*C15*IF(D15="", Parameters!$B$2, D15)/Parameters!$B$6, 0)</f>
        <v>720464.25643416331</v>
      </c>
      <c r="G15" s="13">
        <f>F15*IF(E15="", Parameters!$B$2, E15)</f>
        <v>1152742810.2946613</v>
      </c>
      <c r="H15" s="2">
        <f>G15*Parameters!$B$4</f>
        <v>29971313.067661192</v>
      </c>
      <c r="I15" s="2">
        <f>1/POWER(1+Parameters!$B$5, A15)</f>
        <v>0.26333125430607973</v>
      </c>
      <c r="J15" s="6">
        <f t="shared" si="0"/>
        <v>7892383.4633074198</v>
      </c>
      <c r="K15" s="6">
        <f>SUM($G$2:G15)</f>
        <v>16138399344.125254</v>
      </c>
      <c r="L15">
        <f t="shared" si="1"/>
        <v>684441.04361245513</v>
      </c>
      <c r="M15" s="14">
        <f>L15*IF(E15="",Parameters!$B$2,E15)</f>
        <v>1095105669.7799282</v>
      </c>
      <c r="N15" s="17">
        <f t="shared" si="2"/>
        <v>27487152.311476197</v>
      </c>
      <c r="O15" s="17">
        <f t="shared" si="3"/>
        <v>7238226.2954832856</v>
      </c>
    </row>
    <row r="16" spans="1:15">
      <c r="A16" s="2">
        <v>15</v>
      </c>
      <c r="B16" s="2">
        <v>14000000</v>
      </c>
      <c r="C16" s="15">
        <v>1.952</v>
      </c>
      <c r="D16" s="2">
        <v>0.82</v>
      </c>
      <c r="E16" s="2">
        <v>1600</v>
      </c>
      <c r="F16" s="2">
        <f>IFERROR(B16*C16*IF(D16="", Parameters!$B$2, D16)/Parameters!$B$6, 0)</f>
        <v>720464.25643416331</v>
      </c>
      <c r="G16" s="13">
        <f>F16*IF(E16="", Parameters!$B$2, E16)</f>
        <v>1152742810.2946613</v>
      </c>
      <c r="H16" s="2">
        <f>G16*Parameters!$B$4</f>
        <v>29971313.067661192</v>
      </c>
      <c r="I16" s="2">
        <f>1/POWER(1+Parameters!$B$5, A16)</f>
        <v>0.23939204936916339</v>
      </c>
      <c r="J16" s="6">
        <f t="shared" si="0"/>
        <v>7174894.0575521998</v>
      </c>
      <c r="K16" s="6">
        <f>SUM($G$2:G16)</f>
        <v>17291142154.419914</v>
      </c>
      <c r="L16">
        <f t="shared" si="1"/>
        <v>684441.04361245513</v>
      </c>
      <c r="M16" s="14">
        <f>L16*IF(E16="",Parameters!$B$2,E16)</f>
        <v>1095105669.7799282</v>
      </c>
      <c r="N16" s="17">
        <f t="shared" si="2"/>
        <v>27487152.311476197</v>
      </c>
      <c r="O16" s="17">
        <f t="shared" si="3"/>
        <v>6580205.7231666232</v>
      </c>
    </row>
    <row r="17" spans="1:15">
      <c r="A17" s="2">
        <v>16</v>
      </c>
      <c r="B17" s="2">
        <v>14000000</v>
      </c>
      <c r="C17" s="15">
        <v>1.952</v>
      </c>
      <c r="D17" s="2">
        <v>0.82</v>
      </c>
      <c r="E17" s="2">
        <v>1600</v>
      </c>
      <c r="F17" s="2">
        <f>IFERROR(B17*C17*IF(D17="", Parameters!$B$2, D17)/Parameters!$B$6, 0)</f>
        <v>720464.25643416331</v>
      </c>
      <c r="G17" s="13">
        <f>F17*IF(E17="", Parameters!$B$2, E17)</f>
        <v>1152742810.2946613</v>
      </c>
      <c r="H17" s="2">
        <f>G17*Parameters!$B$4</f>
        <v>29971313.067661192</v>
      </c>
      <c r="I17" s="2">
        <f>1/POWER(1+Parameters!$B$5, A17)</f>
        <v>0.21762913579014853</v>
      </c>
      <c r="J17" s="6">
        <f t="shared" si="0"/>
        <v>6522630.9614110906</v>
      </c>
      <c r="K17" s="6">
        <f>SUM($G$2:G17)</f>
        <v>18443884964.714577</v>
      </c>
      <c r="L17">
        <f t="shared" si="1"/>
        <v>684441.04361245513</v>
      </c>
      <c r="M17" s="14">
        <f>L17*IF(E17="",Parameters!$B$2,E17)</f>
        <v>1095105669.7799282</v>
      </c>
      <c r="N17" s="17">
        <f t="shared" si="2"/>
        <v>27487152.311476197</v>
      </c>
      <c r="O17" s="17">
        <f t="shared" si="3"/>
        <v>5982005.2028787481</v>
      </c>
    </row>
    <row r="18" spans="1:15">
      <c r="A18" s="2">
        <v>17</v>
      </c>
      <c r="B18" s="2">
        <v>14000000</v>
      </c>
      <c r="C18" s="15">
        <v>1.952</v>
      </c>
      <c r="D18" s="2">
        <v>0.82</v>
      </c>
      <c r="E18" s="2">
        <v>1600</v>
      </c>
      <c r="F18" s="2">
        <f>IFERROR(B18*C18*IF(D18="", Parameters!$B$2, D18)/Parameters!$B$6, 0)</f>
        <v>720464.25643416331</v>
      </c>
      <c r="G18" s="13">
        <f>F18*IF(E18="", Parameters!$B$2, E18)</f>
        <v>1152742810.2946613</v>
      </c>
      <c r="H18" s="2">
        <f>G18*Parameters!$B$4</f>
        <v>29971313.067661192</v>
      </c>
      <c r="I18" s="2">
        <f>1/POWER(1+Parameters!$B$5, A18)</f>
        <v>0.19784466890013502</v>
      </c>
      <c r="J18" s="6">
        <f t="shared" si="0"/>
        <v>5929664.510373719</v>
      </c>
      <c r="K18" s="6">
        <f>SUM($G$2:G18)</f>
        <v>19596627775.009239</v>
      </c>
      <c r="L18">
        <f t="shared" si="1"/>
        <v>684441.04361245513</v>
      </c>
      <c r="M18" s="14">
        <f>L18*IF(E18="",Parameters!$B$2,E18)</f>
        <v>1095105669.7799282</v>
      </c>
      <c r="N18" s="17">
        <f t="shared" si="2"/>
        <v>27487152.311476197</v>
      </c>
      <c r="O18" s="17">
        <f t="shared" si="3"/>
        <v>5438186.5480715893</v>
      </c>
    </row>
    <row r="19" spans="1:15">
      <c r="A19" s="2">
        <v>18</v>
      </c>
      <c r="B19" s="2">
        <v>14000000</v>
      </c>
      <c r="C19" s="15">
        <v>1.952</v>
      </c>
      <c r="D19" s="2">
        <v>0.82</v>
      </c>
      <c r="E19" s="2">
        <v>1600</v>
      </c>
      <c r="F19" s="2">
        <f>IFERROR(B19*C19*IF(D19="", Parameters!$B$2, D19)/Parameters!$B$6, 0)</f>
        <v>720464.25643416331</v>
      </c>
      <c r="G19" s="13">
        <f>F19*IF(E19="", Parameters!$B$2, E19)</f>
        <v>1152742810.2946613</v>
      </c>
      <c r="H19" s="2">
        <f>G19*Parameters!$B$4</f>
        <v>29971313.067661192</v>
      </c>
      <c r="I19" s="2">
        <f>1/POWER(1+Parameters!$B$5, A19)</f>
        <v>0.17985878990921364</v>
      </c>
      <c r="J19" s="6">
        <f t="shared" si="0"/>
        <v>5390604.1003397433</v>
      </c>
      <c r="K19" s="6">
        <f>SUM($G$2:G19)</f>
        <v>20749370585.303902</v>
      </c>
      <c r="L19">
        <f t="shared" si="1"/>
        <v>684441.04361245513</v>
      </c>
      <c r="M19" s="14">
        <f>L19*IF(E19="",Parameters!$B$2,E19)</f>
        <v>1095105669.7799282</v>
      </c>
      <c r="N19" s="17">
        <f t="shared" si="2"/>
        <v>27487152.311476197</v>
      </c>
      <c r="O19" s="17">
        <f t="shared" si="3"/>
        <v>4943805.952792353</v>
      </c>
    </row>
    <row r="20" spans="1:15">
      <c r="A20" s="2">
        <v>19</v>
      </c>
      <c r="B20" s="2">
        <v>14000000</v>
      </c>
      <c r="C20" s="15">
        <v>1.952</v>
      </c>
      <c r="D20" s="2">
        <v>0.82</v>
      </c>
      <c r="E20" s="2">
        <v>1600</v>
      </c>
      <c r="F20" s="2">
        <f>IFERROR(B20*C20*IF(D20="", Parameters!$B$2, D20)/Parameters!$B$6, 0)</f>
        <v>720464.25643416331</v>
      </c>
      <c r="G20" s="13">
        <f>F20*IF(E20="", Parameters!$B$2, E20)</f>
        <v>1152742810.2946613</v>
      </c>
      <c r="H20" s="2">
        <f>G20*Parameters!$B$4</f>
        <v>29971313.067661192</v>
      </c>
      <c r="I20" s="2">
        <f>1/POWER(1+Parameters!$B$5, A20)</f>
        <v>0.16350799082655781</v>
      </c>
      <c r="J20" s="6">
        <f t="shared" si="0"/>
        <v>4900549.1821270389</v>
      </c>
      <c r="K20" s="6">
        <f>SUM($G$2:G20)</f>
        <v>21902113395.598564</v>
      </c>
      <c r="L20">
        <f t="shared" si="1"/>
        <v>684441.04361245513</v>
      </c>
      <c r="M20" s="14">
        <f>L20*IF(E20="",Parameters!$B$2,E20)</f>
        <v>1095105669.7799282</v>
      </c>
      <c r="N20" s="17">
        <f t="shared" si="2"/>
        <v>27487152.311476197</v>
      </c>
      <c r="O20" s="17">
        <f t="shared" si="3"/>
        <v>4494369.0479930472</v>
      </c>
    </row>
    <row r="21" spans="1:15">
      <c r="A21" s="2">
        <v>20</v>
      </c>
      <c r="B21" s="2">
        <v>14000000</v>
      </c>
      <c r="C21" s="15">
        <v>1.952</v>
      </c>
      <c r="D21" s="2">
        <v>0.82</v>
      </c>
      <c r="E21" s="2">
        <v>1600</v>
      </c>
      <c r="F21" s="2">
        <f>IFERROR(B21*C21*IF(D21="", Parameters!$B$2, D21)/Parameters!$B$6, 0)</f>
        <v>720464.25643416331</v>
      </c>
      <c r="G21" s="13">
        <f>F21*IF(E21="", Parameters!$B$2, E21)</f>
        <v>1152742810.2946613</v>
      </c>
      <c r="H21" s="2">
        <f>G21*Parameters!$B$4</f>
        <v>29971313.067661192</v>
      </c>
      <c r="I21" s="2">
        <f>1/POWER(1+Parameters!$B$5, A21)</f>
        <v>0.14864362802414349</v>
      </c>
      <c r="J21" s="6">
        <f t="shared" si="0"/>
        <v>4455044.7110245815</v>
      </c>
      <c r="K21" s="6">
        <f>SUM($G$2:G21)</f>
        <v>23054856205.893227</v>
      </c>
      <c r="L21">
        <f t="shared" si="1"/>
        <v>684441.04361245513</v>
      </c>
      <c r="M21" s="14">
        <f>L21*IF(E21="",Parameters!$B$2,E21)</f>
        <v>1095105669.7799282</v>
      </c>
      <c r="N21" s="17">
        <f t="shared" si="2"/>
        <v>27487152.311476197</v>
      </c>
      <c r="O21" s="17">
        <f t="shared" si="3"/>
        <v>4085790.043630044</v>
      </c>
    </row>
    <row r="22" spans="1:15">
      <c r="A22" s="2">
        <v>21</v>
      </c>
      <c r="B22" s="2">
        <v>14000000</v>
      </c>
      <c r="C22" s="15">
        <v>1.952</v>
      </c>
      <c r="D22" s="2">
        <v>0.82</v>
      </c>
      <c r="E22" s="2">
        <v>1600</v>
      </c>
      <c r="F22" s="2">
        <f>IFERROR(B22*C22*IF(D22="", Parameters!$B$2, D22)/Parameters!$B$6, 0)</f>
        <v>720464.25643416331</v>
      </c>
      <c r="G22" s="13">
        <f>F22*IF(E22="", Parameters!$B$2, E22)</f>
        <v>1152742810.2946613</v>
      </c>
      <c r="H22" s="2">
        <f>G22*Parameters!$B$4</f>
        <v>29971313.067661192</v>
      </c>
      <c r="I22" s="2">
        <f>1/POWER(1+Parameters!$B$5, A22)</f>
        <v>0.13513057093103953</v>
      </c>
      <c r="J22" s="6">
        <f t="shared" si="0"/>
        <v>4050040.6463859826</v>
      </c>
      <c r="K22" s="6">
        <f>SUM($G$2:G22)</f>
        <v>24207599016.187889</v>
      </c>
      <c r="L22">
        <f t="shared" si="1"/>
        <v>684441.04361245513</v>
      </c>
      <c r="M22" s="14">
        <f>L22*IF(E22="",Parameters!$B$2,E22)</f>
        <v>1095105669.7799282</v>
      </c>
      <c r="N22" s="17">
        <f t="shared" si="2"/>
        <v>27487152.311476197</v>
      </c>
      <c r="O22" s="17">
        <f t="shared" si="3"/>
        <v>3714354.5851182216</v>
      </c>
    </row>
    <row r="23" spans="1:15">
      <c r="A23" s="2">
        <v>22</v>
      </c>
      <c r="B23" s="2">
        <v>14000000</v>
      </c>
      <c r="C23" s="15">
        <v>1.952</v>
      </c>
      <c r="D23" s="2">
        <v>0.82</v>
      </c>
      <c r="E23" s="2">
        <v>1600</v>
      </c>
      <c r="F23" s="2">
        <f>IFERROR(B23*C23*IF(D23="", Parameters!$B$2, D23)/Parameters!$B$6, 0)</f>
        <v>720464.25643416331</v>
      </c>
      <c r="G23" s="13">
        <f>F23*IF(E23="", Parameters!$B$2, E23)</f>
        <v>1152742810.2946613</v>
      </c>
      <c r="H23" s="2">
        <f>G23*Parameters!$B$4</f>
        <v>29971313.067661192</v>
      </c>
      <c r="I23" s="2">
        <f>1/POWER(1+Parameters!$B$5, A23)</f>
        <v>0.12284597357367227</v>
      </c>
      <c r="J23" s="6">
        <f t="shared" si="0"/>
        <v>3681855.1330781654</v>
      </c>
      <c r="K23" s="6">
        <f>SUM($G$2:G23)</f>
        <v>25360341826.482552</v>
      </c>
      <c r="L23">
        <f t="shared" si="1"/>
        <v>684441.04361245513</v>
      </c>
      <c r="M23" s="14">
        <f>L23*IF(E23="",Parameters!$B$2,E23)</f>
        <v>1095105669.7799282</v>
      </c>
      <c r="N23" s="17">
        <f t="shared" si="2"/>
        <v>27487152.311476197</v>
      </c>
      <c r="O23" s="17">
        <f t="shared" si="3"/>
        <v>3376685.9864711096</v>
      </c>
    </row>
    <row r="24" spans="1:15">
      <c r="A24" s="2">
        <v>23</v>
      </c>
      <c r="B24" s="2">
        <v>14000000</v>
      </c>
      <c r="C24" s="15">
        <v>1.952</v>
      </c>
      <c r="D24" s="2">
        <v>0.82</v>
      </c>
      <c r="E24" s="2">
        <v>1600</v>
      </c>
      <c r="F24" s="2">
        <f>IFERROR(B24*C24*IF(D24="", Parameters!$B$2, D24)/Parameters!$B$6, 0)</f>
        <v>720464.25643416331</v>
      </c>
      <c r="G24" s="13">
        <f>F24*IF(E24="", Parameters!$B$2, E24)</f>
        <v>1152742810.2946613</v>
      </c>
      <c r="H24" s="2">
        <f>G24*Parameters!$B$4</f>
        <v>29971313.067661192</v>
      </c>
      <c r="I24" s="2">
        <f>1/POWER(1+Parameters!$B$5, A24)</f>
        <v>0.11167815779424752</v>
      </c>
      <c r="J24" s="6">
        <f t="shared" si="0"/>
        <v>3347141.0300710592</v>
      </c>
      <c r="K24" s="6">
        <f>SUM($G$2:G24)</f>
        <v>26513084636.777214</v>
      </c>
      <c r="L24">
        <f t="shared" si="1"/>
        <v>684441.04361245513</v>
      </c>
      <c r="M24" s="14">
        <f>L24*IF(E24="",Parameters!$B$2,E24)</f>
        <v>1095105669.7799282</v>
      </c>
      <c r="N24" s="17">
        <f t="shared" si="2"/>
        <v>27487152.311476197</v>
      </c>
      <c r="O24" s="17">
        <f t="shared" si="3"/>
        <v>3069714.533155554</v>
      </c>
    </row>
    <row r="25" spans="1:15">
      <c r="A25" s="2">
        <v>24</v>
      </c>
      <c r="B25" s="2">
        <v>14000000</v>
      </c>
      <c r="C25" s="15">
        <v>1.952</v>
      </c>
      <c r="D25" s="2">
        <v>0.82</v>
      </c>
      <c r="E25" s="2">
        <v>1600</v>
      </c>
      <c r="F25" s="2">
        <f>IFERROR(B25*C25*IF(D25="", Parameters!$B$2, D25)/Parameters!$B$6, 0)</f>
        <v>720464.25643416331</v>
      </c>
      <c r="G25" s="13">
        <f>F25*IF(E25="", Parameters!$B$2, E25)</f>
        <v>1152742810.2946613</v>
      </c>
      <c r="H25" s="2">
        <f>G25*Parameters!$B$4</f>
        <v>29971313.067661192</v>
      </c>
      <c r="I25" s="2">
        <f>1/POWER(1+Parameters!$B$5, A25)</f>
        <v>0.10152559799477048</v>
      </c>
      <c r="J25" s="6">
        <f t="shared" si="0"/>
        <v>3042855.4818827817</v>
      </c>
      <c r="K25" s="6">
        <f>SUM($G$2:G25)</f>
        <v>27665827447.071877</v>
      </c>
      <c r="L25">
        <f t="shared" si="1"/>
        <v>684441.04361245513</v>
      </c>
      <c r="M25" s="14">
        <f>L25*IF(E25="",Parameters!$B$2,E25)</f>
        <v>1095105669.7799282</v>
      </c>
      <c r="N25" s="17">
        <f t="shared" si="2"/>
        <v>27487152.311476197</v>
      </c>
      <c r="O25" s="17">
        <f t="shared" si="3"/>
        <v>2790649.5755959586</v>
      </c>
    </row>
    <row r="26" spans="1:15">
      <c r="A26" s="2">
        <v>25</v>
      </c>
      <c r="B26" s="2">
        <v>14000000</v>
      </c>
      <c r="C26" s="15">
        <v>1.952</v>
      </c>
      <c r="D26" s="2">
        <v>0.82</v>
      </c>
      <c r="E26" s="2">
        <v>1600</v>
      </c>
      <c r="F26" s="2">
        <f>IFERROR(B26*C26*IF(D26="", Parameters!$B$2, D26)/Parameters!$B$6, 0)</f>
        <v>720464.25643416331</v>
      </c>
      <c r="G26" s="13">
        <f>F26*IF(E26="", Parameters!$B$2, E26)</f>
        <v>1152742810.2946613</v>
      </c>
      <c r="H26" s="2">
        <f>G26*Parameters!$B$4</f>
        <v>29971313.067661192</v>
      </c>
      <c r="I26" s="2">
        <f>1/POWER(1+Parameters!$B$5, A26)</f>
        <v>9.2295998177064048E-2</v>
      </c>
      <c r="J26" s="6">
        <f t="shared" si="0"/>
        <v>2766232.2562570735</v>
      </c>
      <c r="K26" s="6">
        <f>SUM($G$2:G26)</f>
        <v>28818570257.366539</v>
      </c>
      <c r="L26">
        <f t="shared" si="1"/>
        <v>684441.04361245513</v>
      </c>
      <c r="M26" s="14">
        <f>L26*IF(E26="",Parameters!$B$2,E26)</f>
        <v>1095105669.7799282</v>
      </c>
      <c r="N26" s="17">
        <f t="shared" si="2"/>
        <v>27487152.311476197</v>
      </c>
      <c r="O26" s="17">
        <f t="shared" si="3"/>
        <v>2536954.1596326889</v>
      </c>
    </row>
    <row r="27" spans="1:15">
      <c r="A27" s="2">
        <v>26</v>
      </c>
      <c r="B27" s="2">
        <v>14000000</v>
      </c>
      <c r="C27" s="15">
        <v>1.952</v>
      </c>
      <c r="D27" s="2">
        <v>0.82</v>
      </c>
      <c r="E27" s="2">
        <v>1600</v>
      </c>
      <c r="F27" s="2">
        <f>IFERROR(B27*C27*IF(D27="", Parameters!$B$2, D27)/Parameters!$B$6, 0)</f>
        <v>720464.25643416331</v>
      </c>
      <c r="G27" s="13">
        <f>F27*IF(E27="", Parameters!$B$2, E27)</f>
        <v>1152742810.2946613</v>
      </c>
      <c r="H27" s="2">
        <f>G27*Parameters!$B$4</f>
        <v>29971313.067661192</v>
      </c>
      <c r="I27" s="2">
        <f>1/POWER(1+Parameters!$B$5, A27)</f>
        <v>8.3905452888240042E-2</v>
      </c>
      <c r="J27" s="6">
        <f t="shared" si="0"/>
        <v>2514756.5965973395</v>
      </c>
      <c r="K27" s="6">
        <f>SUM($G$2:G27)</f>
        <v>29971313067.661201</v>
      </c>
      <c r="L27">
        <f t="shared" si="1"/>
        <v>684441.04361245513</v>
      </c>
      <c r="M27" s="14">
        <f>L27*IF(E27="",Parameters!$B$2,E27)</f>
        <v>1095105669.7799282</v>
      </c>
      <c r="N27" s="17">
        <f t="shared" si="2"/>
        <v>27487152.311476197</v>
      </c>
      <c r="O27" s="17">
        <f t="shared" si="3"/>
        <v>2306321.9633024447</v>
      </c>
    </row>
    <row r="28" spans="1:15">
      <c r="A28" s="2">
        <v>27</v>
      </c>
      <c r="B28" s="2">
        <v>14000000</v>
      </c>
      <c r="C28" s="15">
        <v>1.952</v>
      </c>
      <c r="D28" s="2">
        <v>0.82</v>
      </c>
      <c r="E28" s="2">
        <v>1600</v>
      </c>
      <c r="F28" s="2">
        <f>IFERROR(B28*C28*IF(D28="", Parameters!$B$2, D28)/Parameters!$B$6, 0)</f>
        <v>720464.25643416331</v>
      </c>
      <c r="G28" s="13">
        <f>F28*IF(E28="", Parameters!$B$2, E28)</f>
        <v>1152742810.2946613</v>
      </c>
      <c r="H28" s="2">
        <f>G28*Parameters!$B$4</f>
        <v>29971313.067661192</v>
      </c>
      <c r="I28" s="2">
        <f>1/POWER(1+Parameters!$B$5, A28)</f>
        <v>7.6277684443854576E-2</v>
      </c>
      <c r="J28" s="6">
        <f t="shared" si="0"/>
        <v>2286142.3605430354</v>
      </c>
      <c r="K28" s="6">
        <f>SUM($G$2:G28)</f>
        <v>31124055877.955864</v>
      </c>
      <c r="L28">
        <f t="shared" si="1"/>
        <v>684441.04361245513</v>
      </c>
      <c r="M28" s="14">
        <f>L28*IF(E28="",Parameters!$B$2,E28)</f>
        <v>1095105669.7799282</v>
      </c>
      <c r="N28" s="17">
        <f t="shared" si="2"/>
        <v>27487152.311476197</v>
      </c>
      <c r="O28" s="17">
        <f t="shared" si="3"/>
        <v>2096656.3302749493</v>
      </c>
    </row>
    <row r="29" spans="1:15">
      <c r="A29" s="2">
        <v>28</v>
      </c>
      <c r="B29" s="2">
        <v>14000000</v>
      </c>
      <c r="C29" s="15">
        <v>1.952</v>
      </c>
      <c r="D29" s="2">
        <v>0.82</v>
      </c>
      <c r="E29" s="2">
        <v>1600</v>
      </c>
      <c r="F29" s="2">
        <f>IFERROR(B29*C29*IF(D29="", Parameters!$B$2, D29)/Parameters!$B$6, 0)</f>
        <v>720464.25643416331</v>
      </c>
      <c r="G29" s="13">
        <f>F29*IF(E29="", Parameters!$B$2, E29)</f>
        <v>1152742810.2946613</v>
      </c>
      <c r="H29" s="2">
        <f>G29*Parameters!$B$4</f>
        <v>29971313.067661192</v>
      </c>
      <c r="I29" s="2">
        <f>1/POWER(1+Parameters!$B$5, A29)</f>
        <v>6.9343349494413245E-2</v>
      </c>
      <c r="J29" s="6">
        <f t="shared" si="0"/>
        <v>2078311.2368573048</v>
      </c>
      <c r="K29" s="6">
        <f>SUM($G$2:G29)</f>
        <v>32276798688.250526</v>
      </c>
      <c r="L29">
        <f t="shared" si="1"/>
        <v>684441.04361245513</v>
      </c>
      <c r="M29" s="14">
        <f>L29*IF(E29="",Parameters!$B$2,E29)</f>
        <v>1095105669.7799282</v>
      </c>
      <c r="N29" s="17">
        <f t="shared" si="2"/>
        <v>27487152.311476197</v>
      </c>
      <c r="O29" s="17">
        <f t="shared" si="3"/>
        <v>1906051.2093408627</v>
      </c>
    </row>
    <row r="30" spans="1:15">
      <c r="A30" s="2">
        <v>29</v>
      </c>
      <c r="B30" s="2">
        <v>14000000</v>
      </c>
      <c r="C30" s="15">
        <v>1.952</v>
      </c>
      <c r="D30" s="2">
        <v>0.82</v>
      </c>
      <c r="E30" s="2">
        <v>1600</v>
      </c>
      <c r="F30" s="2">
        <f>IFERROR(B30*C30*IF(D30="", Parameters!$B$2, D30)/Parameters!$B$6, 0)</f>
        <v>720464.25643416331</v>
      </c>
      <c r="G30" s="13">
        <f>F30*IF(E30="", Parameters!$B$2, E30)</f>
        <v>1152742810.2946613</v>
      </c>
      <c r="H30" s="2">
        <f>G30*Parameters!$B$4</f>
        <v>29971313.067661192</v>
      </c>
      <c r="I30" s="2">
        <f>1/POWER(1+Parameters!$B$5, A30)</f>
        <v>6.3039408631284766E-2</v>
      </c>
      <c r="J30" s="6">
        <f t="shared" si="0"/>
        <v>1889373.8516884588</v>
      </c>
      <c r="K30" s="6">
        <f>SUM($G$2:G30)</f>
        <v>33429541498.545189</v>
      </c>
      <c r="L30">
        <f t="shared" si="1"/>
        <v>684441.04361245513</v>
      </c>
      <c r="M30" s="14">
        <f>L30*IF(E30="",Parameters!$B$2,E30)</f>
        <v>1095105669.7799282</v>
      </c>
      <c r="N30" s="17">
        <f t="shared" si="2"/>
        <v>27487152.311476197</v>
      </c>
      <c r="O30" s="17">
        <f t="shared" si="3"/>
        <v>1732773.8266735116</v>
      </c>
    </row>
    <row r="31" spans="1:15">
      <c r="A31" s="2">
        <v>30</v>
      </c>
      <c r="B31" s="2">
        <v>14000000</v>
      </c>
      <c r="C31" s="15">
        <v>1.952</v>
      </c>
      <c r="D31" s="2">
        <v>0.82</v>
      </c>
      <c r="E31" s="2">
        <v>1600</v>
      </c>
      <c r="F31" s="2">
        <f>IFERROR(B31*C31*IF(D31="", Parameters!$B$2, D31)/Parameters!$B$6, 0)</f>
        <v>720464.25643416331</v>
      </c>
      <c r="G31" s="13">
        <f>F31*IF(E31="", Parameters!$B$2, E31)</f>
        <v>1152742810.2946613</v>
      </c>
      <c r="H31" s="2">
        <f>G31*Parameters!$B$4</f>
        <v>29971313.067661192</v>
      </c>
      <c r="I31" s="2">
        <f>1/POWER(1+Parameters!$B$5, A31)</f>
        <v>5.7308553301167964E-2</v>
      </c>
      <c r="J31" s="6">
        <f t="shared" si="0"/>
        <v>1717612.5924440534</v>
      </c>
      <c r="K31" s="6">
        <f>SUM($G$2:G31)</f>
        <v>34582284308.839851</v>
      </c>
      <c r="L31">
        <f t="shared" si="1"/>
        <v>684441.04361245513</v>
      </c>
      <c r="M31" s="14">
        <f>L31*IF(E31="",Parameters!$B$2,E31)</f>
        <v>1095105669.7799282</v>
      </c>
      <c r="N31" s="17">
        <f t="shared" si="2"/>
        <v>27487152.311476197</v>
      </c>
      <c r="O31" s="17">
        <f t="shared" si="3"/>
        <v>1575248.9333395557</v>
      </c>
    </row>
    <row r="32" spans="1:15">
      <c r="A32" s="5">
        <v>31</v>
      </c>
      <c r="B32" s="2">
        <v>14000000</v>
      </c>
      <c r="C32" s="15">
        <v>1.952</v>
      </c>
      <c r="D32" s="2">
        <v>0.82</v>
      </c>
      <c r="E32" s="2">
        <v>1600</v>
      </c>
      <c r="F32" s="2">
        <f>IFERROR(B32*C32*IF(D32="", Parameters!$B$2, D32)/Parameters!$B$6, 0)</f>
        <v>720464.25643416331</v>
      </c>
      <c r="G32" s="13">
        <f>F32*IF(E32="", Parameters!$B$2, E32)</f>
        <v>1152742810.2946613</v>
      </c>
      <c r="H32" s="2">
        <f>G32*Parameters!$B$4</f>
        <v>29971313.067661192</v>
      </c>
      <c r="I32" s="2">
        <f>1/POWER(1+Parameters!$B$5, A32)</f>
        <v>5.2098684819243603E-2</v>
      </c>
      <c r="J32" s="6">
        <f t="shared" si="0"/>
        <v>1561465.9931309575</v>
      </c>
      <c r="K32" s="6">
        <f>SUM($G$2:G32)</f>
        <v>35735027119.134514</v>
      </c>
      <c r="L32">
        <f t="shared" si="1"/>
        <v>684441.04361245513</v>
      </c>
      <c r="M32" s="14">
        <f>L32*IF(E32="",Parameters!$B$2,E32)</f>
        <v>1095105669.7799282</v>
      </c>
      <c r="N32" s="17">
        <f t="shared" si="2"/>
        <v>27487152.311476197</v>
      </c>
      <c r="O32" s="17">
        <f t="shared" si="3"/>
        <v>1432044.4848541417</v>
      </c>
    </row>
    <row r="33" spans="1:15">
      <c r="A33" s="5">
        <v>32</v>
      </c>
      <c r="B33" s="2">
        <v>14000000</v>
      </c>
      <c r="C33" s="15">
        <v>1.952</v>
      </c>
      <c r="D33" s="2">
        <v>0.82</v>
      </c>
      <c r="E33" s="2">
        <v>1600</v>
      </c>
      <c r="F33" s="2">
        <f>IFERROR(B33*C33*IF(D33="", Parameters!$B$2, D33)/Parameters!$B$6, 0)</f>
        <v>720464.25643416331</v>
      </c>
      <c r="G33" s="13">
        <f>F33*IF(E33="", Parameters!$B$2, E33)</f>
        <v>1152742810.2946613</v>
      </c>
      <c r="H33" s="2">
        <f>G33*Parameters!$B$4</f>
        <v>29971313.067661192</v>
      </c>
      <c r="I33" s="2">
        <f>1/POWER(1+Parameters!$B$5, A33)</f>
        <v>4.7362440744766907E-2</v>
      </c>
      <c r="J33" s="6">
        <f t="shared" si="0"/>
        <v>1419514.5392099612</v>
      </c>
      <c r="K33" s="6">
        <f>SUM($G$2:G33)</f>
        <v>36887769929.429176</v>
      </c>
      <c r="L33">
        <f t="shared" si="1"/>
        <v>684441.04361245513</v>
      </c>
      <c r="M33" s="14">
        <f>L33*IF(E33="",Parameters!$B$2,E33)</f>
        <v>1095105669.7799282</v>
      </c>
      <c r="N33" s="17">
        <f t="shared" si="2"/>
        <v>27487152.311476197</v>
      </c>
      <c r="O33" s="17">
        <f t="shared" si="3"/>
        <v>1301858.6225946741</v>
      </c>
    </row>
    <row r="34" spans="1:15">
      <c r="A34" s="5">
        <v>33</v>
      </c>
      <c r="B34" s="2">
        <v>14000000</v>
      </c>
      <c r="C34" s="15">
        <v>1.952</v>
      </c>
      <c r="D34" s="2">
        <v>0.82</v>
      </c>
      <c r="E34" s="2">
        <v>1600</v>
      </c>
      <c r="F34" s="2">
        <f>IFERROR(B34*C34*IF(D34="", Parameters!$B$2, D34)/Parameters!$B$6, 0)</f>
        <v>720464.25643416331</v>
      </c>
      <c r="G34" s="13">
        <f>F34*IF(E34="", Parameters!$B$2, E34)</f>
        <v>1152742810.2946613</v>
      </c>
      <c r="H34" s="2">
        <f>G34*Parameters!$B$4</f>
        <v>29971313.067661192</v>
      </c>
      <c r="I34" s="2">
        <f>1/POWER(1+Parameters!$B$5, A34)</f>
        <v>4.3056764313424457E-2</v>
      </c>
      <c r="J34" s="6">
        <f t="shared" si="0"/>
        <v>1290467.7629181466</v>
      </c>
      <c r="K34" s="6">
        <f>SUM($G$2:G34)</f>
        <v>38040512739.723839</v>
      </c>
      <c r="L34">
        <f t="shared" ref="L34" si="4">F34*0.95</f>
        <v>684441.04361245513</v>
      </c>
      <c r="M34" s="14">
        <f>L34*IF(E34="",Parameters!$B$2,E34)</f>
        <v>1095105669.7799282</v>
      </c>
      <c r="N34" s="17">
        <f t="shared" si="2"/>
        <v>27487152.311476197</v>
      </c>
      <c r="O34" s="17">
        <f t="shared" ref="O34" si="5">N34*I34</f>
        <v>1183507.8387224309</v>
      </c>
    </row>
    <row r="39" spans="1:15">
      <c r="F39" s="3" t="s">
        <v>15</v>
      </c>
      <c r="G39" s="10">
        <f>SUM(G2:G34)</f>
        <v>38040512739.723839</v>
      </c>
      <c r="H39">
        <f>SUM(H2:H34)</f>
        <v>989053331.23281872</v>
      </c>
      <c r="J39" s="11">
        <f>SUM(J2:J34)</f>
        <v>286808453.04743016</v>
      </c>
      <c r="O39" s="11">
        <f>SUM(O2:O34)</f>
        <v>263036444.72753742</v>
      </c>
    </row>
    <row r="40" spans="1:15">
      <c r="F40" s="3" t="s">
        <v>16</v>
      </c>
      <c r="G40" s="10">
        <f>G39</f>
        <v>38040512739.723839</v>
      </c>
    </row>
    <row r="41" spans="1:15">
      <c r="F41" s="3" t="s">
        <v>17</v>
      </c>
      <c r="G41" s="10">
        <f>H39</f>
        <v>989053331.23281872</v>
      </c>
    </row>
    <row r="42" spans="1:15">
      <c r="F42" s="3" t="s">
        <v>9</v>
      </c>
      <c r="G42" s="10">
        <f>J39</f>
        <v>286808453.04743016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03EB-3370-4806-8ECF-ED9DC502A692}">
  <sheetPr codeName="Sheet4"/>
  <dimension ref="A1:O42"/>
  <sheetViews>
    <sheetView topLeftCell="A10" workbookViewId="0">
      <pane xSplit="1" topLeftCell="D1" activePane="topRight" state="frozen"/>
      <selection pane="topRight" activeCell="G42" sqref="G42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15000000</v>
      </c>
      <c r="C2" s="2">
        <v>1.9410000000000001</v>
      </c>
      <c r="D2" s="2">
        <v>0.82</v>
      </c>
      <c r="E2" s="2">
        <v>1600</v>
      </c>
      <c r="F2" s="2">
        <f>IFERROR(B2*C2*IF(D2="", Parameters!$B$2, D2)/Parameters!$B$6, 0)</f>
        <v>767575.99627051619</v>
      </c>
      <c r="G2" s="13">
        <f>F2*IF(E2="", Parameters!$B$2, E2)</f>
        <v>1228121594.0328259</v>
      </c>
      <c r="H2" s="2">
        <f>G2*Parameters!$B$4</f>
        <v>31931161.444853473</v>
      </c>
      <c r="I2" s="2">
        <f>1/POWER(1+Parameters!$B$5, A2)</f>
        <v>0.90909090909090906</v>
      </c>
      <c r="J2" s="6">
        <f t="shared" ref="J2:J33" si="0">H2*I2</f>
        <v>29028328.586230431</v>
      </c>
      <c r="K2" s="6">
        <f>SUM($G$2:G2)</f>
        <v>1228121594.0328259</v>
      </c>
      <c r="L2">
        <f>F2*0.95</f>
        <v>729197.19645699032</v>
      </c>
      <c r="M2" s="14">
        <f>L2*IF(E2="",Parameters!$B$2,E2)</f>
        <v>1166715514.3311846</v>
      </c>
      <c r="N2" s="17">
        <f>M2*0.0251</f>
        <v>29284559.409712736</v>
      </c>
      <c r="O2" s="17">
        <f>N2*I2</f>
        <v>26622326.736102484</v>
      </c>
    </row>
    <row r="3" spans="1:15">
      <c r="A3" s="2">
        <v>2</v>
      </c>
      <c r="B3" s="2">
        <v>15000000</v>
      </c>
      <c r="C3" s="2">
        <v>1.9410000000000001</v>
      </c>
      <c r="D3" s="2">
        <v>0.82</v>
      </c>
      <c r="E3" s="2">
        <v>1600</v>
      </c>
      <c r="F3" s="2">
        <f>IFERROR(B3*C3*IF(D3="", Parameters!$B$2, D3)/Parameters!$B$6, 0)</f>
        <v>767575.99627051619</v>
      </c>
      <c r="G3" s="13">
        <f>F3*IF(E3="", Parameters!$B$2, E3)</f>
        <v>1228121594.0328259</v>
      </c>
      <c r="H3" s="2">
        <f>G3*Parameters!$B$4</f>
        <v>31931161.444853473</v>
      </c>
      <c r="I3" s="2">
        <f>1/POWER(1+Parameters!$B$5, A3)</f>
        <v>0.82644628099173545</v>
      </c>
      <c r="J3" s="6">
        <f t="shared" si="0"/>
        <v>26389389.623845842</v>
      </c>
      <c r="K3" s="6">
        <f>SUM($G$2:G3)</f>
        <v>2456243188.0656519</v>
      </c>
      <c r="L3">
        <f t="shared" ref="L3:L33" si="1">F3*0.95</f>
        <v>729197.19645699032</v>
      </c>
      <c r="M3" s="14">
        <f>L3*IF(E3="",Parameters!$B$2,E3)</f>
        <v>1166715514.3311846</v>
      </c>
      <c r="N3" s="17">
        <f t="shared" ref="N3:N33" si="2">M3*0.0251</f>
        <v>29284559.409712736</v>
      </c>
      <c r="O3" s="17">
        <f t="shared" ref="O3:O33" si="3">N3*I3</f>
        <v>24202115.214638621</v>
      </c>
    </row>
    <row r="4" spans="1:15">
      <c r="A4" s="2">
        <v>3</v>
      </c>
      <c r="B4" s="2">
        <v>15000000</v>
      </c>
      <c r="C4" s="2">
        <v>1.9410000000000001</v>
      </c>
      <c r="D4" s="2">
        <v>0.82</v>
      </c>
      <c r="E4" s="2">
        <v>1600</v>
      </c>
      <c r="F4" s="2">
        <f>IFERROR(B4*C4*IF(D4="", Parameters!$B$2, D4)/Parameters!$B$6, 0)</f>
        <v>767575.99627051619</v>
      </c>
      <c r="G4" s="13">
        <f>F4*IF(E4="", Parameters!$B$2, E4)</f>
        <v>1228121594.0328259</v>
      </c>
      <c r="H4" s="2">
        <f>G4*Parameters!$B$4</f>
        <v>31931161.444853473</v>
      </c>
      <c r="I4" s="2">
        <f>1/POWER(1+Parameters!$B$5, A4)</f>
        <v>0.75131480090157754</v>
      </c>
      <c r="J4" s="6">
        <f t="shared" si="0"/>
        <v>23990354.203496218</v>
      </c>
      <c r="K4" s="6">
        <f>SUM($G$2:G4)</f>
        <v>3684364782.0984778</v>
      </c>
      <c r="L4">
        <f t="shared" si="1"/>
        <v>729197.19645699032</v>
      </c>
      <c r="M4" s="14">
        <f>L4*IF(E4="",Parameters!$B$2,E4)</f>
        <v>1166715514.3311846</v>
      </c>
      <c r="N4" s="17">
        <f t="shared" si="2"/>
        <v>29284559.409712736</v>
      </c>
      <c r="O4" s="17">
        <f t="shared" si="3"/>
        <v>22001922.922398742</v>
      </c>
    </row>
    <row r="5" spans="1:15">
      <c r="A5" s="2">
        <v>4</v>
      </c>
      <c r="B5" s="2">
        <v>15000000</v>
      </c>
      <c r="C5" s="2">
        <v>1.9410000000000001</v>
      </c>
      <c r="D5" s="2">
        <v>0.82</v>
      </c>
      <c r="E5" s="2">
        <v>1600</v>
      </c>
      <c r="F5" s="2">
        <f>IFERROR(B5*C5*IF(D5="", Parameters!$B$2, D5)/Parameters!$B$6, 0)</f>
        <v>767575.99627051619</v>
      </c>
      <c r="G5" s="13">
        <f>F5*IF(E5="", Parameters!$B$2, E5)</f>
        <v>1228121594.0328259</v>
      </c>
      <c r="H5" s="2">
        <f>G5*Parameters!$B$4</f>
        <v>31931161.444853473</v>
      </c>
      <c r="I5" s="2">
        <f>1/POWER(1+Parameters!$B$5, A5)</f>
        <v>0.68301345536507052</v>
      </c>
      <c r="J5" s="6">
        <f t="shared" si="0"/>
        <v>21809412.912269287</v>
      </c>
      <c r="K5" s="6">
        <f>SUM($G$2:G5)</f>
        <v>4912486376.1313038</v>
      </c>
      <c r="L5">
        <f t="shared" si="1"/>
        <v>729197.19645699032</v>
      </c>
      <c r="M5" s="14">
        <f>L5*IF(E5="",Parameters!$B$2,E5)</f>
        <v>1166715514.3311846</v>
      </c>
      <c r="N5" s="17">
        <f t="shared" si="2"/>
        <v>29284559.409712736</v>
      </c>
      <c r="O5" s="17">
        <f t="shared" si="3"/>
        <v>20001748.111271586</v>
      </c>
    </row>
    <row r="6" spans="1:15">
      <c r="A6" s="2">
        <v>5</v>
      </c>
      <c r="B6" s="2">
        <v>15000000</v>
      </c>
      <c r="C6" s="2">
        <v>1.9410000000000001</v>
      </c>
      <c r="D6" s="2">
        <v>0.82</v>
      </c>
      <c r="E6" s="2">
        <v>1600</v>
      </c>
      <c r="F6" s="2">
        <f>IFERROR(B6*C6*IF(D6="", Parameters!$B$2, D6)/Parameters!$B$6, 0)</f>
        <v>767575.99627051619</v>
      </c>
      <c r="G6" s="13">
        <f>F6*IF(E6="", Parameters!$B$2, E6)</f>
        <v>1228121594.0328259</v>
      </c>
      <c r="H6" s="2">
        <f>G6*Parameters!$B$4</f>
        <v>31931161.444853473</v>
      </c>
      <c r="I6" s="2">
        <f>1/POWER(1+Parameters!$B$5, A6)</f>
        <v>0.62092132305915493</v>
      </c>
      <c r="J6" s="6">
        <f t="shared" si="0"/>
        <v>19826739.011153895</v>
      </c>
      <c r="K6" s="6">
        <f>SUM($G$2:G6)</f>
        <v>6140607970.1641293</v>
      </c>
      <c r="L6">
        <f t="shared" si="1"/>
        <v>729197.19645699032</v>
      </c>
      <c r="M6" s="14">
        <f>L6*IF(E6="",Parameters!$B$2,E6)</f>
        <v>1166715514.3311846</v>
      </c>
      <c r="N6" s="17">
        <f t="shared" si="2"/>
        <v>29284559.409712736</v>
      </c>
      <c r="O6" s="17">
        <f t="shared" si="3"/>
        <v>18183407.373883259</v>
      </c>
    </row>
    <row r="7" spans="1:15">
      <c r="A7" s="2">
        <v>6</v>
      </c>
      <c r="B7" s="2">
        <v>15000000</v>
      </c>
      <c r="C7" s="2">
        <v>1.9410000000000001</v>
      </c>
      <c r="D7" s="2">
        <v>0.82</v>
      </c>
      <c r="E7" s="2">
        <v>1600</v>
      </c>
      <c r="F7" s="2">
        <f>IFERROR(B7*C7*IF(D7="", Parameters!$B$2, D7)/Parameters!$B$6, 0)</f>
        <v>767575.99627051619</v>
      </c>
      <c r="G7" s="13">
        <f>F7*IF(E7="", Parameters!$B$2, E7)</f>
        <v>1228121594.0328259</v>
      </c>
      <c r="H7" s="2">
        <f>G7*Parameters!$B$4</f>
        <v>31931161.444853473</v>
      </c>
      <c r="I7" s="2">
        <f>1/POWER(1+Parameters!$B$5, A7)</f>
        <v>0.56447393005377722</v>
      </c>
      <c r="J7" s="6">
        <f t="shared" si="0"/>
        <v>18024308.191958088</v>
      </c>
      <c r="K7" s="6">
        <f>SUM($G$2:G7)</f>
        <v>7368729564.1969547</v>
      </c>
      <c r="L7">
        <f t="shared" si="1"/>
        <v>729197.19645699032</v>
      </c>
      <c r="M7" s="14">
        <f>L7*IF(E7="",Parameters!$B$2,E7)</f>
        <v>1166715514.3311846</v>
      </c>
      <c r="N7" s="17">
        <f t="shared" si="2"/>
        <v>29284559.409712736</v>
      </c>
      <c r="O7" s="17">
        <f t="shared" si="3"/>
        <v>16530370.33989387</v>
      </c>
    </row>
    <row r="8" spans="1:15">
      <c r="A8" s="2">
        <v>7</v>
      </c>
      <c r="B8" s="2">
        <v>15000000</v>
      </c>
      <c r="C8" s="2">
        <v>1.9410000000000001</v>
      </c>
      <c r="D8" s="2">
        <v>0.82</v>
      </c>
      <c r="E8" s="2">
        <v>1600</v>
      </c>
      <c r="F8" s="2">
        <f>IFERROR(B8*C8*IF(D8="", Parameters!$B$2, D8)/Parameters!$B$6, 0)</f>
        <v>767575.99627051619</v>
      </c>
      <c r="G8" s="13">
        <f>F8*IF(E8="", Parameters!$B$2, E8)</f>
        <v>1228121594.0328259</v>
      </c>
      <c r="H8" s="2">
        <f>G8*Parameters!$B$4</f>
        <v>31931161.444853473</v>
      </c>
      <c r="I8" s="2">
        <f>1/POWER(1+Parameters!$B$5, A8)</f>
        <v>0.51315811823070645</v>
      </c>
      <c r="J8" s="6">
        <f t="shared" si="0"/>
        <v>16385734.719961895</v>
      </c>
      <c r="K8" s="6">
        <f>SUM($G$2:G8)</f>
        <v>8596851158.2297802</v>
      </c>
      <c r="L8">
        <f t="shared" si="1"/>
        <v>729197.19645699032</v>
      </c>
      <c r="M8" s="14">
        <f>L8*IF(E8="",Parameters!$B$2,E8)</f>
        <v>1166715514.3311846</v>
      </c>
      <c r="N8" s="17">
        <f t="shared" si="2"/>
        <v>29284559.409712736</v>
      </c>
      <c r="O8" s="17">
        <f t="shared" si="3"/>
        <v>15027609.399903515</v>
      </c>
    </row>
    <row r="9" spans="1:15">
      <c r="A9" s="2">
        <v>8</v>
      </c>
      <c r="B9" s="2">
        <v>15000000</v>
      </c>
      <c r="C9" s="2">
        <v>1.9410000000000001</v>
      </c>
      <c r="D9" s="2">
        <v>0.82</v>
      </c>
      <c r="E9" s="2">
        <v>1600</v>
      </c>
      <c r="F9" s="2">
        <f>IFERROR(B9*C9*IF(D9="", Parameters!$B$2, D9)/Parameters!$B$6, 0)</f>
        <v>767575.99627051619</v>
      </c>
      <c r="G9" s="13">
        <f>F9*IF(E9="", Parameters!$B$2, E9)</f>
        <v>1228121594.0328259</v>
      </c>
      <c r="H9" s="2">
        <f>G9*Parameters!$B$4</f>
        <v>31931161.444853473</v>
      </c>
      <c r="I9" s="2">
        <f>1/POWER(1+Parameters!$B$5, A9)</f>
        <v>0.46650738020973315</v>
      </c>
      <c r="J9" s="6">
        <f t="shared" si="0"/>
        <v>14896122.472692631</v>
      </c>
      <c r="K9" s="6">
        <f>SUM($G$2:G9)</f>
        <v>9824972752.2626057</v>
      </c>
      <c r="L9">
        <f t="shared" si="1"/>
        <v>729197.19645699032</v>
      </c>
      <c r="M9" s="14">
        <f>L9*IF(E9="",Parameters!$B$2,E9)</f>
        <v>1166715514.3311846</v>
      </c>
      <c r="N9" s="17">
        <f t="shared" si="2"/>
        <v>29284559.409712736</v>
      </c>
      <c r="O9" s="17">
        <f t="shared" si="3"/>
        <v>13661463.090821378</v>
      </c>
    </row>
    <row r="10" spans="1:15">
      <c r="A10" s="2">
        <v>9</v>
      </c>
      <c r="B10" s="2">
        <v>15000000</v>
      </c>
      <c r="C10" s="2">
        <v>1.9410000000000001</v>
      </c>
      <c r="D10" s="2">
        <v>0.82</v>
      </c>
      <c r="E10" s="2">
        <v>1600</v>
      </c>
      <c r="F10" s="2">
        <f>IFERROR(B10*C10*IF(D10="", Parameters!$B$2, D10)/Parameters!$B$6, 0)</f>
        <v>767575.99627051619</v>
      </c>
      <c r="G10" s="13">
        <f>F10*IF(E10="", Parameters!$B$2, E10)</f>
        <v>1228121594.0328259</v>
      </c>
      <c r="H10" s="2">
        <f>G10*Parameters!$B$4</f>
        <v>31931161.444853473</v>
      </c>
      <c r="I10" s="2">
        <f>1/POWER(1+Parameters!$B$5, A10)</f>
        <v>0.42409761837248466</v>
      </c>
      <c r="J10" s="6">
        <f t="shared" si="0"/>
        <v>13541929.520629665</v>
      </c>
      <c r="K10" s="6">
        <f>SUM($G$2:G10)</f>
        <v>11053094346.295431</v>
      </c>
      <c r="L10">
        <f t="shared" si="1"/>
        <v>729197.19645699032</v>
      </c>
      <c r="M10" s="14">
        <f>L10*IF(E10="",Parameters!$B$2,E10)</f>
        <v>1166715514.3311846</v>
      </c>
      <c r="N10" s="17">
        <f t="shared" si="2"/>
        <v>29284559.409712736</v>
      </c>
      <c r="O10" s="17">
        <f t="shared" si="3"/>
        <v>12419511.900746707</v>
      </c>
    </row>
    <row r="11" spans="1:15">
      <c r="A11" s="2">
        <v>10</v>
      </c>
      <c r="B11" s="2">
        <v>15000000</v>
      </c>
      <c r="C11" s="2">
        <v>1.9410000000000001</v>
      </c>
      <c r="D11" s="2">
        <v>0.82</v>
      </c>
      <c r="E11" s="2">
        <v>1600</v>
      </c>
      <c r="F11" s="2">
        <f>IFERROR(B11*C11*IF(D11="", Parameters!$B$2, D11)/Parameters!$B$6, 0)</f>
        <v>767575.99627051619</v>
      </c>
      <c r="G11" s="13">
        <f>F11*IF(E11="", Parameters!$B$2, E11)</f>
        <v>1228121594.0328259</v>
      </c>
      <c r="H11" s="2">
        <f>G11*Parameters!$B$4</f>
        <v>31931161.444853473</v>
      </c>
      <c r="I11" s="2">
        <f>1/POWER(1+Parameters!$B$5, A11)</f>
        <v>0.38554328942953148</v>
      </c>
      <c r="J11" s="6">
        <f t="shared" si="0"/>
        <v>12310845.01875424</v>
      </c>
      <c r="K11" s="6">
        <f>SUM($G$2:G11)</f>
        <v>12281215940.328257</v>
      </c>
      <c r="L11">
        <f t="shared" si="1"/>
        <v>729197.19645699032</v>
      </c>
      <c r="M11" s="14">
        <f>L11*IF(E11="",Parameters!$B$2,E11)</f>
        <v>1166715514.3311846</v>
      </c>
      <c r="N11" s="17">
        <f t="shared" si="2"/>
        <v>29284559.409712736</v>
      </c>
      <c r="O11" s="17">
        <f t="shared" si="3"/>
        <v>11290465.364315188</v>
      </c>
    </row>
    <row r="12" spans="1:15">
      <c r="A12" s="2">
        <v>11</v>
      </c>
      <c r="B12" s="2">
        <v>15000000</v>
      </c>
      <c r="C12" s="2">
        <v>1.9410000000000001</v>
      </c>
      <c r="D12" s="2">
        <v>0.82</v>
      </c>
      <c r="E12" s="2">
        <v>1600</v>
      </c>
      <c r="F12" s="2">
        <f>IFERROR(B12*C12*IF(D12="", Parameters!$B$2, D12)/Parameters!$B$6, 0)</f>
        <v>767575.99627051619</v>
      </c>
      <c r="G12" s="13">
        <f>F12*IF(E12="", Parameters!$B$2, E12)</f>
        <v>1228121594.0328259</v>
      </c>
      <c r="H12" s="2">
        <f>G12*Parameters!$B$4</f>
        <v>31931161.444853473</v>
      </c>
      <c r="I12" s="2">
        <f>1/POWER(1+Parameters!$B$5, A12)</f>
        <v>0.3504938994813922</v>
      </c>
      <c r="J12" s="6">
        <f t="shared" si="0"/>
        <v>11191677.28977658</v>
      </c>
      <c r="K12" s="6">
        <f>SUM($G$2:G12)</f>
        <v>13509337534.361082</v>
      </c>
      <c r="L12">
        <f t="shared" si="1"/>
        <v>729197.19645699032</v>
      </c>
      <c r="M12" s="14">
        <f>L12*IF(E12="",Parameters!$B$2,E12)</f>
        <v>1166715514.3311846</v>
      </c>
      <c r="N12" s="17">
        <f t="shared" si="2"/>
        <v>29284559.409712736</v>
      </c>
      <c r="O12" s="17">
        <f t="shared" si="3"/>
        <v>10264059.422104714</v>
      </c>
    </row>
    <row r="13" spans="1:15">
      <c r="A13" s="2">
        <v>12</v>
      </c>
      <c r="B13" s="2">
        <v>15000000</v>
      </c>
      <c r="C13" s="2">
        <v>1.9410000000000001</v>
      </c>
      <c r="D13" s="2">
        <v>0.82</v>
      </c>
      <c r="E13" s="2">
        <v>1600</v>
      </c>
      <c r="F13" s="2">
        <f>IFERROR(B13*C13*IF(D13="", Parameters!$B$2, D13)/Parameters!$B$6, 0)</f>
        <v>767575.99627051619</v>
      </c>
      <c r="G13" s="13">
        <f>F13*IF(E13="", Parameters!$B$2, E13)</f>
        <v>1228121594.0328259</v>
      </c>
      <c r="H13" s="2">
        <f>G13*Parameters!$B$4</f>
        <v>31931161.444853473</v>
      </c>
      <c r="I13" s="2">
        <f>1/POWER(1+Parameters!$B$5, A13)</f>
        <v>0.31863081771035656</v>
      </c>
      <c r="J13" s="6">
        <f t="shared" si="0"/>
        <v>10174252.081615074</v>
      </c>
      <c r="K13" s="6">
        <f>SUM($G$2:G13)</f>
        <v>14737459128.393908</v>
      </c>
      <c r="L13">
        <f t="shared" si="1"/>
        <v>729197.19645699032</v>
      </c>
      <c r="M13" s="14">
        <f>L13*IF(E13="",Parameters!$B$2,E13)</f>
        <v>1166715514.3311846</v>
      </c>
      <c r="N13" s="17">
        <f t="shared" si="2"/>
        <v>29284559.409712736</v>
      </c>
      <c r="O13" s="17">
        <f t="shared" si="3"/>
        <v>9330963.1110042855</v>
      </c>
    </row>
    <row r="14" spans="1:15">
      <c r="A14" s="2">
        <v>13</v>
      </c>
      <c r="B14" s="2">
        <v>15000000</v>
      </c>
      <c r="C14" s="2">
        <v>1.9410000000000001</v>
      </c>
      <c r="D14" s="2">
        <v>0.82</v>
      </c>
      <c r="E14" s="2">
        <v>1600</v>
      </c>
      <c r="F14" s="2">
        <f>IFERROR(B14*C14*IF(D14="", Parameters!$B$2, D14)/Parameters!$B$6, 0)</f>
        <v>767575.99627051619</v>
      </c>
      <c r="G14" s="13">
        <f>F14*IF(E14="", Parameters!$B$2, E14)</f>
        <v>1228121594.0328259</v>
      </c>
      <c r="H14" s="2">
        <f>G14*Parameters!$B$4</f>
        <v>31931161.444853473</v>
      </c>
      <c r="I14" s="2">
        <f>1/POWER(1+Parameters!$B$5, A14)</f>
        <v>0.28966437973668779</v>
      </c>
      <c r="J14" s="6">
        <f t="shared" si="0"/>
        <v>9249320.074195521</v>
      </c>
      <c r="K14" s="6">
        <f>SUM($G$2:G14)</f>
        <v>15965580722.426733</v>
      </c>
      <c r="L14">
        <f t="shared" si="1"/>
        <v>729197.19645699032</v>
      </c>
      <c r="M14" s="14">
        <f>L14*IF(E14="",Parameters!$B$2,E14)</f>
        <v>1166715514.3311846</v>
      </c>
      <c r="N14" s="17">
        <f t="shared" si="2"/>
        <v>29284559.409712736</v>
      </c>
      <c r="O14" s="17">
        <f t="shared" si="3"/>
        <v>8482693.737276623</v>
      </c>
    </row>
    <row r="15" spans="1:15">
      <c r="A15" s="2">
        <v>14</v>
      </c>
      <c r="B15" s="2">
        <v>15000000</v>
      </c>
      <c r="C15" s="2">
        <v>1.9410000000000001</v>
      </c>
      <c r="D15" s="2">
        <v>0.82</v>
      </c>
      <c r="E15" s="2">
        <v>1600</v>
      </c>
      <c r="F15" s="2">
        <f>IFERROR(B15*C15*IF(D15="", Parameters!$B$2, D15)/Parameters!$B$6, 0)</f>
        <v>767575.99627051619</v>
      </c>
      <c r="G15" s="13">
        <f>F15*IF(E15="", Parameters!$B$2, E15)</f>
        <v>1228121594.0328259</v>
      </c>
      <c r="H15" s="2">
        <f>G15*Parameters!$B$4</f>
        <v>31931161.444853473</v>
      </c>
      <c r="I15" s="2">
        <f>1/POWER(1+Parameters!$B$5, A15)</f>
        <v>0.26333125430607973</v>
      </c>
      <c r="J15" s="6">
        <f t="shared" si="0"/>
        <v>8408472.7947231978</v>
      </c>
      <c r="K15" s="6">
        <f>SUM($G$2:G15)</f>
        <v>17193702316.45956</v>
      </c>
      <c r="L15">
        <f t="shared" si="1"/>
        <v>729197.19645699032</v>
      </c>
      <c r="M15" s="14">
        <f>L15*IF(E15="",Parameters!$B$2,E15)</f>
        <v>1166715514.3311846</v>
      </c>
      <c r="N15" s="17">
        <f t="shared" si="2"/>
        <v>29284559.409712736</v>
      </c>
      <c r="O15" s="17">
        <f t="shared" si="3"/>
        <v>7711539.7611605646</v>
      </c>
    </row>
    <row r="16" spans="1:15">
      <c r="A16" s="2">
        <v>15</v>
      </c>
      <c r="B16" s="2">
        <v>15000000</v>
      </c>
      <c r="C16" s="2">
        <v>1.9410000000000001</v>
      </c>
      <c r="D16" s="2">
        <v>0.82</v>
      </c>
      <c r="E16" s="2">
        <v>1600</v>
      </c>
      <c r="F16" s="2">
        <f>IFERROR(B16*C16*IF(D16="", Parameters!$B$2, D16)/Parameters!$B$6, 0)</f>
        <v>767575.99627051619</v>
      </c>
      <c r="G16" s="13">
        <f>F16*IF(E16="", Parameters!$B$2, E16)</f>
        <v>1228121594.0328259</v>
      </c>
      <c r="H16" s="2">
        <f>G16*Parameters!$B$4</f>
        <v>31931161.444853473</v>
      </c>
      <c r="I16" s="2">
        <f>1/POWER(1+Parameters!$B$5, A16)</f>
        <v>0.23939204936916339</v>
      </c>
      <c r="J16" s="6">
        <f t="shared" si="0"/>
        <v>7644066.177021089</v>
      </c>
      <c r="K16" s="6">
        <f>SUM($G$2:G16)</f>
        <v>18421823910.492386</v>
      </c>
      <c r="L16">
        <f t="shared" si="1"/>
        <v>729197.19645699032</v>
      </c>
      <c r="M16" s="14">
        <f>L16*IF(E16="",Parameters!$B$2,E16)</f>
        <v>1166715514.3311846</v>
      </c>
      <c r="N16" s="17">
        <f t="shared" si="2"/>
        <v>29284559.409712736</v>
      </c>
      <c r="O16" s="17">
        <f t="shared" si="3"/>
        <v>7010490.6919641495</v>
      </c>
    </row>
    <row r="17" spans="1:15">
      <c r="A17" s="2">
        <v>16</v>
      </c>
      <c r="B17" s="2">
        <v>15000000</v>
      </c>
      <c r="C17" s="2">
        <v>1.9410000000000001</v>
      </c>
      <c r="D17" s="2">
        <v>0.82</v>
      </c>
      <c r="E17" s="2">
        <v>1600</v>
      </c>
      <c r="F17" s="2">
        <f>IFERROR(B17*C17*IF(D17="", Parameters!$B$2, D17)/Parameters!$B$6, 0)</f>
        <v>767575.99627051619</v>
      </c>
      <c r="G17" s="13">
        <f>F17*IF(E17="", Parameters!$B$2, E17)</f>
        <v>1228121594.0328259</v>
      </c>
      <c r="H17" s="2">
        <f>G17*Parameters!$B$4</f>
        <v>31931161.444853473</v>
      </c>
      <c r="I17" s="2">
        <f>1/POWER(1+Parameters!$B$5, A17)</f>
        <v>0.21762913579014853</v>
      </c>
      <c r="J17" s="6">
        <f t="shared" si="0"/>
        <v>6949151.0700191716</v>
      </c>
      <c r="K17" s="6">
        <f>SUM($G$2:G17)</f>
        <v>19649945504.525211</v>
      </c>
      <c r="L17">
        <f t="shared" si="1"/>
        <v>729197.19645699032</v>
      </c>
      <c r="M17" s="14">
        <f>L17*IF(E17="",Parameters!$B$2,E17)</f>
        <v>1166715514.3311846</v>
      </c>
      <c r="N17" s="17">
        <f t="shared" si="2"/>
        <v>29284559.409712736</v>
      </c>
      <c r="O17" s="17">
        <f t="shared" si="3"/>
        <v>6373173.3563310448</v>
      </c>
    </row>
    <row r="18" spans="1:15">
      <c r="A18" s="2">
        <v>17</v>
      </c>
      <c r="B18" s="2">
        <v>15000000</v>
      </c>
      <c r="C18" s="2">
        <v>1.9410000000000001</v>
      </c>
      <c r="D18" s="2">
        <v>0.82</v>
      </c>
      <c r="E18" s="2">
        <v>1600</v>
      </c>
      <c r="F18" s="2">
        <f>IFERROR(B18*C18*IF(D18="", Parameters!$B$2, D18)/Parameters!$B$6, 0)</f>
        <v>767575.99627051619</v>
      </c>
      <c r="G18" s="13">
        <f>F18*IF(E18="", Parameters!$B$2, E18)</f>
        <v>1228121594.0328259</v>
      </c>
      <c r="H18" s="2">
        <f>G18*Parameters!$B$4</f>
        <v>31931161.444853473</v>
      </c>
      <c r="I18" s="2">
        <f>1/POWER(1+Parameters!$B$5, A18)</f>
        <v>0.19784466890013502</v>
      </c>
      <c r="J18" s="6">
        <f t="shared" si="0"/>
        <v>6317410.0636537923</v>
      </c>
      <c r="K18" s="6">
        <f>SUM($G$2:G18)</f>
        <v>20878067098.558037</v>
      </c>
      <c r="L18">
        <f t="shared" si="1"/>
        <v>729197.19645699032</v>
      </c>
      <c r="M18" s="14">
        <f>L18*IF(E18="",Parameters!$B$2,E18)</f>
        <v>1166715514.3311846</v>
      </c>
      <c r="N18" s="17">
        <f t="shared" si="2"/>
        <v>29284559.409712736</v>
      </c>
      <c r="O18" s="17">
        <f t="shared" si="3"/>
        <v>5793793.9603009494</v>
      </c>
    </row>
    <row r="19" spans="1:15">
      <c r="A19" s="2">
        <v>18</v>
      </c>
      <c r="B19" s="2">
        <v>15000000</v>
      </c>
      <c r="C19" s="2">
        <v>1.9410000000000001</v>
      </c>
      <c r="D19" s="2">
        <v>0.82</v>
      </c>
      <c r="E19" s="2">
        <v>1600</v>
      </c>
      <c r="F19" s="2">
        <f>IFERROR(B19*C19*IF(D19="", Parameters!$B$2, D19)/Parameters!$B$6, 0)</f>
        <v>767575.99627051619</v>
      </c>
      <c r="G19" s="13">
        <f>F19*IF(E19="", Parameters!$B$2, E19)</f>
        <v>1228121594.0328259</v>
      </c>
      <c r="H19" s="2">
        <f>G19*Parameters!$B$4</f>
        <v>31931161.444853473</v>
      </c>
      <c r="I19" s="2">
        <f>1/POWER(1+Parameters!$B$5, A19)</f>
        <v>0.17985878990921364</v>
      </c>
      <c r="J19" s="6">
        <f t="shared" si="0"/>
        <v>5743100.0578670837</v>
      </c>
      <c r="K19" s="6">
        <f>SUM($G$2:G19)</f>
        <v>22106188692.590862</v>
      </c>
      <c r="L19">
        <f t="shared" si="1"/>
        <v>729197.19645699032</v>
      </c>
      <c r="M19" s="14">
        <f>L19*IF(E19="",Parameters!$B$2,E19)</f>
        <v>1166715514.3311846</v>
      </c>
      <c r="N19" s="17">
        <f t="shared" si="2"/>
        <v>29284559.409712736</v>
      </c>
      <c r="O19" s="17">
        <f t="shared" si="3"/>
        <v>5267085.418455408</v>
      </c>
    </row>
    <row r="20" spans="1:15">
      <c r="A20" s="2">
        <v>19</v>
      </c>
      <c r="B20" s="2">
        <v>15000000</v>
      </c>
      <c r="C20" s="2">
        <v>1.9410000000000001</v>
      </c>
      <c r="D20" s="2">
        <v>0.82</v>
      </c>
      <c r="E20" s="2">
        <v>1600</v>
      </c>
      <c r="F20" s="2">
        <f>IFERROR(B20*C20*IF(D20="", Parameters!$B$2, D20)/Parameters!$B$6, 0)</f>
        <v>767575.99627051619</v>
      </c>
      <c r="G20" s="13">
        <f>F20*IF(E20="", Parameters!$B$2, E20)</f>
        <v>1228121594.0328259</v>
      </c>
      <c r="H20" s="2">
        <f>G20*Parameters!$B$4</f>
        <v>31931161.444853473</v>
      </c>
      <c r="I20" s="2">
        <f>1/POWER(1+Parameters!$B$5, A20)</f>
        <v>0.16350799082655781</v>
      </c>
      <c r="J20" s="6">
        <f t="shared" si="0"/>
        <v>5221000.0526064383</v>
      </c>
      <c r="K20" s="6">
        <f>SUM($G$2:G20)</f>
        <v>23334310286.623688</v>
      </c>
      <c r="L20">
        <f t="shared" si="1"/>
        <v>729197.19645699032</v>
      </c>
      <c r="M20" s="14">
        <f>L20*IF(E20="",Parameters!$B$2,E20)</f>
        <v>1166715514.3311846</v>
      </c>
      <c r="N20" s="17">
        <f t="shared" si="2"/>
        <v>29284559.409712736</v>
      </c>
      <c r="O20" s="17">
        <f t="shared" si="3"/>
        <v>4788259.4713230971</v>
      </c>
    </row>
    <row r="21" spans="1:15">
      <c r="A21" s="2">
        <v>20</v>
      </c>
      <c r="B21" s="2">
        <v>15000000</v>
      </c>
      <c r="C21" s="2">
        <v>1.9410000000000001</v>
      </c>
      <c r="D21" s="2">
        <v>0.82</v>
      </c>
      <c r="E21" s="2">
        <v>1600</v>
      </c>
      <c r="F21" s="2">
        <f>IFERROR(B21*C21*IF(D21="", Parameters!$B$2, D21)/Parameters!$B$6, 0)</f>
        <v>767575.99627051619</v>
      </c>
      <c r="G21" s="13">
        <f>F21*IF(E21="", Parameters!$B$2, E21)</f>
        <v>1228121594.0328259</v>
      </c>
      <c r="H21" s="2">
        <f>G21*Parameters!$B$4</f>
        <v>31931161.444853473</v>
      </c>
      <c r="I21" s="2">
        <f>1/POWER(1+Parameters!$B$5, A21)</f>
        <v>0.14864362802414349</v>
      </c>
      <c r="J21" s="6">
        <f t="shared" si="0"/>
        <v>4746363.6841876721</v>
      </c>
      <c r="K21" s="6">
        <f>SUM($G$2:G21)</f>
        <v>24562431880.656513</v>
      </c>
      <c r="L21">
        <f t="shared" si="1"/>
        <v>729197.19645699032</v>
      </c>
      <c r="M21" s="14">
        <f>L21*IF(E21="",Parameters!$B$2,E21)</f>
        <v>1166715514.3311846</v>
      </c>
      <c r="N21" s="17">
        <f t="shared" si="2"/>
        <v>29284559.409712736</v>
      </c>
      <c r="O21" s="17">
        <f t="shared" si="3"/>
        <v>4352963.1557482714</v>
      </c>
    </row>
    <row r="22" spans="1:15">
      <c r="A22" s="2">
        <v>21</v>
      </c>
      <c r="B22" s="2">
        <v>15000000</v>
      </c>
      <c r="C22" s="2">
        <v>1.9410000000000001</v>
      </c>
      <c r="D22" s="2">
        <v>0.82</v>
      </c>
      <c r="E22" s="2">
        <v>1600</v>
      </c>
      <c r="F22" s="2">
        <f>IFERROR(B22*C22*IF(D22="", Parameters!$B$2, D22)/Parameters!$B$6, 0)</f>
        <v>767575.99627051619</v>
      </c>
      <c r="G22" s="13">
        <f>F22*IF(E22="", Parameters!$B$2, E22)</f>
        <v>1228121594.0328259</v>
      </c>
      <c r="H22" s="2">
        <f>G22*Parameters!$B$4</f>
        <v>31931161.444853473</v>
      </c>
      <c r="I22" s="2">
        <f>1/POWER(1+Parameters!$B$5, A22)</f>
        <v>0.13513057093103953</v>
      </c>
      <c r="J22" s="6">
        <f t="shared" si="0"/>
        <v>4314876.076534247</v>
      </c>
      <c r="K22" s="6">
        <f>SUM($G$2:G22)</f>
        <v>25790553474.689339</v>
      </c>
      <c r="L22">
        <f t="shared" si="1"/>
        <v>729197.19645699032</v>
      </c>
      <c r="M22" s="14">
        <f>L22*IF(E22="",Parameters!$B$2,E22)</f>
        <v>1166715514.3311846</v>
      </c>
      <c r="N22" s="17">
        <f t="shared" si="2"/>
        <v>29284559.409712736</v>
      </c>
      <c r="O22" s="17">
        <f t="shared" si="3"/>
        <v>3957239.2324984279</v>
      </c>
    </row>
    <row r="23" spans="1:15">
      <c r="A23" s="2">
        <v>22</v>
      </c>
      <c r="B23" s="2">
        <v>15000000</v>
      </c>
      <c r="C23" s="2">
        <v>1.9410000000000001</v>
      </c>
      <c r="D23" s="2">
        <v>0.82</v>
      </c>
      <c r="E23" s="2">
        <v>1600</v>
      </c>
      <c r="F23" s="2">
        <f>IFERROR(B23*C23*IF(D23="", Parameters!$B$2, D23)/Parameters!$B$6, 0)</f>
        <v>767575.99627051619</v>
      </c>
      <c r="G23" s="13">
        <f>F23*IF(E23="", Parameters!$B$2, E23)</f>
        <v>1228121594.0328259</v>
      </c>
      <c r="H23" s="2">
        <f>G23*Parameters!$B$4</f>
        <v>31931161.444853473</v>
      </c>
      <c r="I23" s="2">
        <f>1/POWER(1+Parameters!$B$5, A23)</f>
        <v>0.12284597357367227</v>
      </c>
      <c r="J23" s="6">
        <f t="shared" si="0"/>
        <v>3922614.6150311329</v>
      </c>
      <c r="K23" s="6">
        <f>SUM($G$2:G23)</f>
        <v>27018675068.722164</v>
      </c>
      <c r="L23">
        <f t="shared" si="1"/>
        <v>729197.19645699032</v>
      </c>
      <c r="M23" s="14">
        <f>L23*IF(E23="",Parameters!$B$2,E23)</f>
        <v>1166715514.3311846</v>
      </c>
      <c r="N23" s="17">
        <f t="shared" si="2"/>
        <v>29284559.409712736</v>
      </c>
      <c r="O23" s="17">
        <f t="shared" si="3"/>
        <v>3597490.2113622064</v>
      </c>
    </row>
    <row r="24" spans="1:15">
      <c r="A24" s="2">
        <v>23</v>
      </c>
      <c r="B24" s="2">
        <v>15000000</v>
      </c>
      <c r="C24" s="2">
        <v>1.9410000000000001</v>
      </c>
      <c r="D24" s="2">
        <v>0.82</v>
      </c>
      <c r="E24" s="2">
        <v>1600</v>
      </c>
      <c r="F24" s="2">
        <f>IFERROR(B24*C24*IF(D24="", Parameters!$B$2, D24)/Parameters!$B$6, 0)</f>
        <v>767575.99627051619</v>
      </c>
      <c r="G24" s="13">
        <f>F24*IF(E24="", Parameters!$B$2, E24)</f>
        <v>1228121594.0328259</v>
      </c>
      <c r="H24" s="2">
        <f>G24*Parameters!$B$4</f>
        <v>31931161.444853473</v>
      </c>
      <c r="I24" s="2">
        <f>1/POWER(1+Parameters!$B$5, A24)</f>
        <v>0.11167815779424752</v>
      </c>
      <c r="J24" s="6">
        <f t="shared" si="0"/>
        <v>3566013.2863919386</v>
      </c>
      <c r="K24" s="6">
        <f>SUM($G$2:G24)</f>
        <v>28246796662.75499</v>
      </c>
      <c r="L24">
        <f t="shared" si="1"/>
        <v>729197.19645699032</v>
      </c>
      <c r="M24" s="14">
        <f>L24*IF(E24="",Parameters!$B$2,E24)</f>
        <v>1166715514.3311846</v>
      </c>
      <c r="N24" s="17">
        <f t="shared" si="2"/>
        <v>29284559.409712736</v>
      </c>
      <c r="O24" s="17">
        <f t="shared" si="3"/>
        <v>3270445.6466929149</v>
      </c>
    </row>
    <row r="25" spans="1:15">
      <c r="A25" s="2">
        <v>24</v>
      </c>
      <c r="B25" s="2">
        <v>15000000</v>
      </c>
      <c r="C25" s="2">
        <v>1.9410000000000001</v>
      </c>
      <c r="D25" s="2">
        <v>0.82</v>
      </c>
      <c r="E25" s="2">
        <v>1600</v>
      </c>
      <c r="F25" s="2">
        <f>IFERROR(B25*C25*IF(D25="", Parameters!$B$2, D25)/Parameters!$B$6, 0)</f>
        <v>767575.99627051619</v>
      </c>
      <c r="G25" s="13">
        <f>F25*IF(E25="", Parameters!$B$2, E25)</f>
        <v>1228121594.0328259</v>
      </c>
      <c r="H25" s="2">
        <f>G25*Parameters!$B$4</f>
        <v>31931161.444853473</v>
      </c>
      <c r="I25" s="2">
        <f>1/POWER(1+Parameters!$B$5, A25)</f>
        <v>0.10152559799477048</v>
      </c>
      <c r="J25" s="6">
        <f t="shared" si="0"/>
        <v>3241830.2603563084</v>
      </c>
      <c r="K25" s="6">
        <f>SUM($G$2:G25)</f>
        <v>29474918256.787815</v>
      </c>
      <c r="L25">
        <f t="shared" si="1"/>
        <v>729197.19645699032</v>
      </c>
      <c r="M25" s="14">
        <f>L25*IF(E25="",Parameters!$B$2,E25)</f>
        <v>1166715514.3311846</v>
      </c>
      <c r="N25" s="17">
        <f t="shared" si="2"/>
        <v>29284559.409712736</v>
      </c>
      <c r="O25" s="17">
        <f t="shared" si="3"/>
        <v>2973132.4060844686</v>
      </c>
    </row>
    <row r="26" spans="1:15">
      <c r="A26" s="2">
        <v>25</v>
      </c>
      <c r="B26" s="2">
        <v>15000000</v>
      </c>
      <c r="C26" s="2">
        <v>1.9410000000000001</v>
      </c>
      <c r="D26" s="2">
        <v>0.82</v>
      </c>
      <c r="E26" s="2">
        <v>1600</v>
      </c>
      <c r="F26" s="2">
        <f>IFERROR(B26*C26*IF(D26="", Parameters!$B$2, D26)/Parameters!$B$6, 0)</f>
        <v>767575.99627051619</v>
      </c>
      <c r="G26" s="13">
        <f>F26*IF(E26="", Parameters!$B$2, E26)</f>
        <v>1228121594.0328259</v>
      </c>
      <c r="H26" s="2">
        <f>G26*Parameters!$B$4</f>
        <v>31931161.444853473</v>
      </c>
      <c r="I26" s="2">
        <f>1/POWER(1+Parameters!$B$5, A26)</f>
        <v>9.2295998177064048E-2</v>
      </c>
      <c r="J26" s="6">
        <f t="shared" si="0"/>
        <v>2947118.4185057338</v>
      </c>
      <c r="K26" s="6">
        <f>SUM($G$2:G26)</f>
        <v>30703039850.820641</v>
      </c>
      <c r="L26">
        <f t="shared" si="1"/>
        <v>729197.19645699032</v>
      </c>
      <c r="M26" s="14">
        <f>L26*IF(E26="",Parameters!$B$2,E26)</f>
        <v>1166715514.3311846</v>
      </c>
      <c r="N26" s="17">
        <f t="shared" si="2"/>
        <v>29284559.409712736</v>
      </c>
      <c r="O26" s="17">
        <f t="shared" si="3"/>
        <v>2702847.6418949706</v>
      </c>
    </row>
    <row r="27" spans="1:15">
      <c r="A27" s="2">
        <v>26</v>
      </c>
      <c r="B27" s="2">
        <v>15000000</v>
      </c>
      <c r="C27" s="2">
        <v>1.9410000000000001</v>
      </c>
      <c r="D27" s="2">
        <v>0.82</v>
      </c>
      <c r="E27" s="2">
        <v>1600</v>
      </c>
      <c r="F27" s="2">
        <f>IFERROR(B27*C27*IF(D27="", Parameters!$B$2, D27)/Parameters!$B$6, 0)</f>
        <v>767575.99627051619</v>
      </c>
      <c r="G27" s="13">
        <f>F27*IF(E27="", Parameters!$B$2, E27)</f>
        <v>1228121594.0328259</v>
      </c>
      <c r="H27" s="2">
        <f>G27*Parameters!$B$4</f>
        <v>31931161.444853473</v>
      </c>
      <c r="I27" s="2">
        <f>1/POWER(1+Parameters!$B$5, A27)</f>
        <v>8.3905452888240042E-2</v>
      </c>
      <c r="J27" s="6">
        <f t="shared" si="0"/>
        <v>2679198.5622779401</v>
      </c>
      <c r="K27" s="6">
        <f>SUM($G$2:G27)</f>
        <v>31931161444.853466</v>
      </c>
      <c r="L27">
        <f t="shared" si="1"/>
        <v>729197.19645699032</v>
      </c>
      <c r="M27" s="14">
        <f>L27*IF(E27="",Parameters!$B$2,E27)</f>
        <v>1166715514.3311846</v>
      </c>
      <c r="N27" s="17">
        <f t="shared" si="2"/>
        <v>29284559.409712736</v>
      </c>
      <c r="O27" s="17">
        <f t="shared" si="3"/>
        <v>2457134.2199045187</v>
      </c>
    </row>
    <row r="28" spans="1:15">
      <c r="A28" s="2">
        <v>27</v>
      </c>
      <c r="B28" s="2">
        <v>15000000</v>
      </c>
      <c r="C28" s="2">
        <v>1.9410000000000001</v>
      </c>
      <c r="D28" s="2">
        <v>0.82</v>
      </c>
      <c r="E28" s="2">
        <v>1600</v>
      </c>
      <c r="F28" s="2">
        <f>IFERROR(B28*C28*IF(D28="", Parameters!$B$2, D28)/Parameters!$B$6, 0)</f>
        <v>767575.99627051619</v>
      </c>
      <c r="G28" s="13">
        <f>F28*IF(E28="", Parameters!$B$2, E28)</f>
        <v>1228121594.0328259</v>
      </c>
      <c r="H28" s="2">
        <f>G28*Parameters!$B$4</f>
        <v>31931161.444853473</v>
      </c>
      <c r="I28" s="2">
        <f>1/POWER(1+Parameters!$B$5, A28)</f>
        <v>7.6277684443854576E-2</v>
      </c>
      <c r="J28" s="6">
        <f t="shared" si="0"/>
        <v>2435635.0566163086</v>
      </c>
      <c r="K28" s="6">
        <f>SUM($G$2:G28)</f>
        <v>33159283038.886292</v>
      </c>
      <c r="L28">
        <f t="shared" si="1"/>
        <v>729197.19645699032</v>
      </c>
      <c r="M28" s="14">
        <f>L28*IF(E28="",Parameters!$B$2,E28)</f>
        <v>1166715514.3311846</v>
      </c>
      <c r="N28" s="17">
        <f t="shared" si="2"/>
        <v>29284559.409712736</v>
      </c>
      <c r="O28" s="17">
        <f t="shared" si="3"/>
        <v>2233758.3817313802</v>
      </c>
    </row>
    <row r="29" spans="1:15">
      <c r="A29" s="2">
        <v>28</v>
      </c>
      <c r="B29" s="2">
        <v>15000000</v>
      </c>
      <c r="C29" s="2">
        <v>1.9410000000000001</v>
      </c>
      <c r="D29" s="2">
        <v>0.82</v>
      </c>
      <c r="E29" s="2">
        <v>1600</v>
      </c>
      <c r="F29" s="2">
        <f>IFERROR(B29*C29*IF(D29="", Parameters!$B$2, D29)/Parameters!$B$6, 0)</f>
        <v>767575.99627051619</v>
      </c>
      <c r="G29" s="13">
        <f>F29*IF(E29="", Parameters!$B$2, E29)</f>
        <v>1228121594.0328259</v>
      </c>
      <c r="H29" s="2">
        <f>G29*Parameters!$B$4</f>
        <v>31931161.444853473</v>
      </c>
      <c r="I29" s="2">
        <f>1/POWER(1+Parameters!$B$5, A29)</f>
        <v>6.9343349494413245E-2</v>
      </c>
      <c r="J29" s="6">
        <f t="shared" si="0"/>
        <v>2214213.6878330079</v>
      </c>
      <c r="K29" s="6">
        <f>SUM($G$2:G29)</f>
        <v>34387404632.919121</v>
      </c>
      <c r="L29">
        <f t="shared" si="1"/>
        <v>729197.19645699032</v>
      </c>
      <c r="M29" s="14">
        <f>L29*IF(E29="",Parameters!$B$2,E29)</f>
        <v>1166715514.3311846</v>
      </c>
      <c r="N29" s="17">
        <f t="shared" si="2"/>
        <v>29284559.409712736</v>
      </c>
      <c r="O29" s="17">
        <f t="shared" si="3"/>
        <v>2030689.4379376182</v>
      </c>
    </row>
    <row r="30" spans="1:15">
      <c r="A30" s="2">
        <v>29</v>
      </c>
      <c r="B30" s="2">
        <v>15000000</v>
      </c>
      <c r="C30" s="2">
        <v>1.9410000000000001</v>
      </c>
      <c r="D30" s="2">
        <v>0.82</v>
      </c>
      <c r="E30" s="2">
        <v>1600</v>
      </c>
      <c r="F30" s="2">
        <f>IFERROR(B30*C30*IF(D30="", Parameters!$B$2, D30)/Parameters!$B$6, 0)</f>
        <v>767575.99627051619</v>
      </c>
      <c r="G30" s="13">
        <f>F30*IF(E30="", Parameters!$B$2, E30)</f>
        <v>1228121594.0328259</v>
      </c>
      <c r="H30" s="2">
        <f>G30*Parameters!$B$4</f>
        <v>31931161.444853473</v>
      </c>
      <c r="I30" s="2">
        <f>1/POWER(1+Parameters!$B$5, A30)</f>
        <v>6.3039408631284766E-2</v>
      </c>
      <c r="J30" s="6">
        <f t="shared" si="0"/>
        <v>2012921.5343936435</v>
      </c>
      <c r="K30" s="6">
        <f>SUM($G$2:G30)</f>
        <v>35615526226.95195</v>
      </c>
      <c r="L30">
        <f t="shared" si="1"/>
        <v>729197.19645699032</v>
      </c>
      <c r="M30" s="14">
        <f>L30*IF(E30="",Parameters!$B$2,E30)</f>
        <v>1166715514.3311846</v>
      </c>
      <c r="N30" s="17">
        <f t="shared" si="2"/>
        <v>29284559.409712736</v>
      </c>
      <c r="O30" s="17">
        <f t="shared" si="3"/>
        <v>1846081.3072160166</v>
      </c>
    </row>
    <row r="31" spans="1:15">
      <c r="A31" s="2">
        <v>30</v>
      </c>
      <c r="B31" s="2">
        <v>15000000</v>
      </c>
      <c r="C31" s="2">
        <v>1.9410000000000001</v>
      </c>
      <c r="D31" s="2">
        <v>0.82</v>
      </c>
      <c r="E31" s="2">
        <v>1600</v>
      </c>
      <c r="F31" s="2">
        <f>IFERROR(B31*C31*IF(D31="", Parameters!$B$2, D31)/Parameters!$B$6, 0)</f>
        <v>767575.99627051619</v>
      </c>
      <c r="G31" s="13">
        <f>F31*IF(E31="", Parameters!$B$2, E31)</f>
        <v>1228121594.0328259</v>
      </c>
      <c r="H31" s="2">
        <f>G31*Parameters!$B$4</f>
        <v>31931161.444853473</v>
      </c>
      <c r="I31" s="2">
        <f>1/POWER(1+Parameters!$B$5, A31)</f>
        <v>5.7308553301167964E-2</v>
      </c>
      <c r="J31" s="6">
        <f t="shared" si="0"/>
        <v>1829928.6676305847</v>
      </c>
      <c r="K31" s="6">
        <f>SUM($G$2:G31)</f>
        <v>36843647820.984779</v>
      </c>
      <c r="L31">
        <f t="shared" si="1"/>
        <v>729197.19645699032</v>
      </c>
      <c r="M31" s="14">
        <f>L31*IF(E31="",Parameters!$B$2,E31)</f>
        <v>1166715514.3311846</v>
      </c>
      <c r="N31" s="17">
        <f t="shared" si="2"/>
        <v>29284559.409712736</v>
      </c>
      <c r="O31" s="17">
        <f t="shared" si="3"/>
        <v>1678255.7338327421</v>
      </c>
    </row>
    <row r="32" spans="1:15">
      <c r="A32" s="5">
        <v>31</v>
      </c>
      <c r="B32" s="2">
        <v>15000000</v>
      </c>
      <c r="C32" s="2">
        <v>1.9410000000000001</v>
      </c>
      <c r="D32" s="2">
        <v>0.82</v>
      </c>
      <c r="E32" s="2">
        <v>1600</v>
      </c>
      <c r="F32" s="2">
        <f>IFERROR(B32*C32*IF(D32="", Parameters!$B$2, D32)/Parameters!$B$6, 0)</f>
        <v>767575.99627051619</v>
      </c>
      <c r="G32" s="13">
        <f>F32*IF(E32="", Parameters!$B$2, E32)</f>
        <v>1228121594.0328259</v>
      </c>
      <c r="H32" s="2">
        <f>G32*Parameters!$B$4</f>
        <v>31931161.444853473</v>
      </c>
      <c r="I32" s="2">
        <f>1/POWER(1+Parameters!$B$5, A32)</f>
        <v>5.2098684819243603E-2</v>
      </c>
      <c r="J32" s="6">
        <f t="shared" si="0"/>
        <v>1663571.5160278042</v>
      </c>
      <c r="K32" s="6">
        <f>SUM($G$2:G32)</f>
        <v>38071769415.017609</v>
      </c>
      <c r="L32">
        <f t="shared" si="1"/>
        <v>729197.19645699032</v>
      </c>
      <c r="M32" s="14">
        <f>L32*IF(E32="",Parameters!$B$2,E32)</f>
        <v>1166715514.3311846</v>
      </c>
      <c r="N32" s="17">
        <f t="shared" si="2"/>
        <v>29284559.409712736</v>
      </c>
      <c r="O32" s="17">
        <f t="shared" si="3"/>
        <v>1525687.0307570384</v>
      </c>
    </row>
    <row r="33" spans="1:15">
      <c r="A33" s="5">
        <v>32</v>
      </c>
      <c r="B33" s="2">
        <v>15000000</v>
      </c>
      <c r="C33" s="2">
        <v>1.9410000000000001</v>
      </c>
      <c r="D33" s="2">
        <v>0.82</v>
      </c>
      <c r="E33" s="2">
        <v>1600</v>
      </c>
      <c r="F33" s="2">
        <f>IFERROR(B33*C33*IF(D33="", Parameters!$B$2, D33)/Parameters!$B$6, 0)</f>
        <v>767575.99627051619</v>
      </c>
      <c r="G33" s="13">
        <f>F33*IF(E33="", Parameters!$B$2, E33)</f>
        <v>1228121594.0328259</v>
      </c>
      <c r="H33" s="2">
        <f>G33*Parameters!$B$4</f>
        <v>31931161.444853473</v>
      </c>
      <c r="I33" s="2">
        <f>1/POWER(1+Parameters!$B$5, A33)</f>
        <v>4.7362440744766907E-2</v>
      </c>
      <c r="J33" s="6">
        <f t="shared" si="0"/>
        <v>1512337.7418434583</v>
      </c>
      <c r="K33" s="6">
        <f>SUM($G$2:G33)</f>
        <v>39299891009.050438</v>
      </c>
      <c r="L33">
        <f t="shared" si="1"/>
        <v>729197.19645699032</v>
      </c>
      <c r="M33" s="14">
        <f>L33*IF(E33="",Parameters!$B$2,E33)</f>
        <v>1166715514.3311846</v>
      </c>
      <c r="N33" s="17">
        <f t="shared" si="2"/>
        <v>29284559.409712736</v>
      </c>
      <c r="O33" s="17">
        <f t="shared" si="3"/>
        <v>1386988.2097791256</v>
      </c>
    </row>
    <row r="39" spans="1:15">
      <c r="F39" s="3" t="s">
        <v>15</v>
      </c>
      <c r="G39" s="10">
        <f>SUM(G2:G33)</f>
        <v>39299891009.050438</v>
      </c>
      <c r="H39">
        <f>SUM(H2:H33)</f>
        <v>1021797166.2353106</v>
      </c>
      <c r="J39" s="11">
        <f>SUM(J2:J33)</f>
        <v>304188237.03009999</v>
      </c>
      <c r="O39" s="11">
        <f>SUM(O2:O33)</f>
        <v>278975711.99933583</v>
      </c>
    </row>
    <row r="40" spans="1:15">
      <c r="F40" s="3" t="s">
        <v>16</v>
      </c>
      <c r="G40" s="10">
        <f>G39</f>
        <v>39299891009.050438</v>
      </c>
    </row>
    <row r="41" spans="1:15">
      <c r="F41" s="3" t="s">
        <v>17</v>
      </c>
      <c r="G41" s="10">
        <f>H39</f>
        <v>1021797166.2353106</v>
      </c>
    </row>
    <row r="42" spans="1:15">
      <c r="F42" s="3" t="s">
        <v>9</v>
      </c>
      <c r="G42" s="10">
        <f>J39</f>
        <v>304188237.03009999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C572-ADE5-445D-A390-710095FFED5E}">
  <sheetPr codeName="Sheet6"/>
  <dimension ref="A1:O42"/>
  <sheetViews>
    <sheetView topLeftCell="A13" workbookViewId="0">
      <pane xSplit="1" topLeftCell="D1" activePane="topRight" state="frozen"/>
      <selection pane="topRight" activeCell="L40" sqref="L40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16000000</v>
      </c>
      <c r="C2" s="2">
        <v>1.9590000000000001</v>
      </c>
      <c r="D2" s="2">
        <v>0.82</v>
      </c>
      <c r="E2" s="2">
        <v>1600</v>
      </c>
      <c r="F2" s="2">
        <f>IFERROR(B2*C2*IF(D2="", Parameters!$B$2, D2)/Parameters!$B$6, 0)</f>
        <v>826340.44400147896</v>
      </c>
      <c r="G2" s="13">
        <f>F2*IF(E2="", Parameters!$B$2, E2)</f>
        <v>1322144710.4023664</v>
      </c>
      <c r="H2" s="2">
        <f>G2*Parameters!$B$4</f>
        <v>34375762.470461525</v>
      </c>
      <c r="I2" s="2">
        <f>1/POWER(1+Parameters!$B$5, A2)</f>
        <v>0.90909090909090906</v>
      </c>
      <c r="J2" s="6">
        <f t="shared" ref="J2:J33" si="0">H2*I2</f>
        <v>31250693.154965021</v>
      </c>
      <c r="K2" s="6">
        <f>SUM($G$2:G2)</f>
        <v>1322144710.4023664</v>
      </c>
      <c r="L2">
        <f>F2*0.95</f>
        <v>785023.42180140503</v>
      </c>
      <c r="M2" s="14">
        <f>L2*IF(E2="",Parameters!$B$2,E2)</f>
        <v>1256037474.8822479</v>
      </c>
      <c r="N2" s="17">
        <f>M2*0.0251</f>
        <v>31526540.619544424</v>
      </c>
      <c r="O2" s="17">
        <f>N2*I2</f>
        <v>28660491.472313114</v>
      </c>
    </row>
    <row r="3" spans="1:15">
      <c r="A3" s="2">
        <v>2</v>
      </c>
      <c r="B3" s="2">
        <v>16000000</v>
      </c>
      <c r="C3" s="2">
        <v>1.9590000000000001</v>
      </c>
      <c r="D3" s="2">
        <v>0.82</v>
      </c>
      <c r="E3" s="2">
        <v>1600</v>
      </c>
      <c r="F3" s="2">
        <f>IFERROR(B3*C3*IF(D3="", Parameters!$B$2, D3)/Parameters!$B$6, 0)</f>
        <v>826340.44400147896</v>
      </c>
      <c r="G3" s="13">
        <f>F3*IF(E3="", Parameters!$B$2, E3)</f>
        <v>1322144710.4023664</v>
      </c>
      <c r="H3" s="2">
        <f>G3*Parameters!$B$4</f>
        <v>34375762.470461525</v>
      </c>
      <c r="I3" s="2">
        <f>1/POWER(1+Parameters!$B$5, A3)</f>
        <v>0.82644628099173545</v>
      </c>
      <c r="J3" s="6">
        <f t="shared" si="0"/>
        <v>28409721.049968198</v>
      </c>
      <c r="K3" s="6">
        <f>SUM($G$2:G3)</f>
        <v>2644289420.8047328</v>
      </c>
      <c r="L3">
        <f t="shared" ref="L3:L33" si="1">F3*0.95</f>
        <v>785023.42180140503</v>
      </c>
      <c r="M3" s="14">
        <f>L3*IF(E3="",Parameters!$B$2,E3)</f>
        <v>1256037474.8822479</v>
      </c>
      <c r="N3" s="17">
        <f t="shared" ref="N3:N33" si="2">M3*0.0251</f>
        <v>31526540.619544424</v>
      </c>
      <c r="O3" s="17">
        <f t="shared" ref="O3:O33" si="3">N3*I3</f>
        <v>26054992.247557372</v>
      </c>
    </row>
    <row r="4" spans="1:15">
      <c r="A4" s="2">
        <v>3</v>
      </c>
      <c r="B4" s="2">
        <v>16000000</v>
      </c>
      <c r="C4" s="2">
        <v>1.9590000000000001</v>
      </c>
      <c r="D4" s="2">
        <v>0.82</v>
      </c>
      <c r="E4" s="2">
        <v>1600</v>
      </c>
      <c r="F4" s="2">
        <f>IFERROR(B4*C4*IF(D4="", Parameters!$B$2, D4)/Parameters!$B$6, 0)</f>
        <v>826340.44400147896</v>
      </c>
      <c r="G4" s="13">
        <f>F4*IF(E4="", Parameters!$B$2, E4)</f>
        <v>1322144710.4023664</v>
      </c>
      <c r="H4" s="2">
        <f>G4*Parameters!$B$4</f>
        <v>34375762.470461525</v>
      </c>
      <c r="I4" s="2">
        <f>1/POWER(1+Parameters!$B$5, A4)</f>
        <v>0.75131480090157754</v>
      </c>
      <c r="J4" s="6">
        <f t="shared" si="0"/>
        <v>25827019.136334721</v>
      </c>
      <c r="K4" s="6">
        <f>SUM($G$2:G4)</f>
        <v>3966434131.207099</v>
      </c>
      <c r="L4">
        <f t="shared" si="1"/>
        <v>785023.42180140503</v>
      </c>
      <c r="M4" s="14">
        <f>L4*IF(E4="",Parameters!$B$2,E4)</f>
        <v>1256037474.8822479</v>
      </c>
      <c r="N4" s="17">
        <f t="shared" si="2"/>
        <v>31526540.619544424</v>
      </c>
      <c r="O4" s="17">
        <f t="shared" si="3"/>
        <v>23686356.588688515</v>
      </c>
    </row>
    <row r="5" spans="1:15">
      <c r="A5" s="2">
        <v>4</v>
      </c>
      <c r="B5" s="2">
        <v>16000000</v>
      </c>
      <c r="C5" s="2">
        <v>1.9590000000000001</v>
      </c>
      <c r="D5" s="2">
        <v>0.82</v>
      </c>
      <c r="E5" s="2">
        <v>1600</v>
      </c>
      <c r="F5" s="2">
        <f>IFERROR(B5*C5*IF(D5="", Parameters!$B$2, D5)/Parameters!$B$6, 0)</f>
        <v>826340.44400147896</v>
      </c>
      <c r="G5" s="13">
        <f>F5*IF(E5="", Parameters!$B$2, E5)</f>
        <v>1322144710.4023664</v>
      </c>
      <c r="H5" s="2">
        <f>G5*Parameters!$B$4</f>
        <v>34375762.470461525</v>
      </c>
      <c r="I5" s="2">
        <f>1/POWER(1+Parameters!$B$5, A5)</f>
        <v>0.68301345536507052</v>
      </c>
      <c r="J5" s="6">
        <f t="shared" si="0"/>
        <v>23479108.305758838</v>
      </c>
      <c r="K5" s="6">
        <f>SUM($G$2:G5)</f>
        <v>5288578841.6094656</v>
      </c>
      <c r="L5">
        <f t="shared" si="1"/>
        <v>785023.42180140503</v>
      </c>
      <c r="M5" s="14">
        <f>L5*IF(E5="",Parameters!$B$2,E5)</f>
        <v>1256037474.8822479</v>
      </c>
      <c r="N5" s="17">
        <f t="shared" si="2"/>
        <v>31526540.619544424</v>
      </c>
      <c r="O5" s="17">
        <f t="shared" si="3"/>
        <v>21533051.444262289</v>
      </c>
    </row>
    <row r="6" spans="1:15">
      <c r="A6" s="2">
        <v>5</v>
      </c>
      <c r="B6" s="2">
        <v>16000000</v>
      </c>
      <c r="C6" s="2">
        <v>1.9590000000000001</v>
      </c>
      <c r="D6" s="2">
        <v>0.82</v>
      </c>
      <c r="E6" s="2">
        <v>1600</v>
      </c>
      <c r="F6" s="2">
        <f>IFERROR(B6*C6*IF(D6="", Parameters!$B$2, D6)/Parameters!$B$6, 0)</f>
        <v>826340.44400147896</v>
      </c>
      <c r="G6" s="13">
        <f>F6*IF(E6="", Parameters!$B$2, E6)</f>
        <v>1322144710.4023664</v>
      </c>
      <c r="H6" s="2">
        <f>G6*Parameters!$B$4</f>
        <v>34375762.470461525</v>
      </c>
      <c r="I6" s="2">
        <f>1/POWER(1+Parameters!$B$5, A6)</f>
        <v>0.62092132305915493</v>
      </c>
      <c r="J6" s="6">
        <f t="shared" si="0"/>
        <v>21344643.914326213</v>
      </c>
      <c r="K6" s="6">
        <f>SUM($G$2:G6)</f>
        <v>6610723552.0118322</v>
      </c>
      <c r="L6">
        <f t="shared" si="1"/>
        <v>785023.42180140503</v>
      </c>
      <c r="M6" s="14">
        <f>L6*IF(E6="",Parameters!$B$2,E6)</f>
        <v>1256037474.8822479</v>
      </c>
      <c r="N6" s="17">
        <f t="shared" si="2"/>
        <v>31526540.619544424</v>
      </c>
      <c r="O6" s="17">
        <f t="shared" si="3"/>
        <v>19575501.312965713</v>
      </c>
    </row>
    <row r="7" spans="1:15">
      <c r="A7" s="2">
        <v>6</v>
      </c>
      <c r="B7" s="2">
        <v>16000000</v>
      </c>
      <c r="C7" s="2">
        <v>1.9590000000000001</v>
      </c>
      <c r="D7" s="2">
        <v>0.82</v>
      </c>
      <c r="E7" s="2">
        <v>1600</v>
      </c>
      <c r="F7" s="2">
        <f>IFERROR(B7*C7*IF(D7="", Parameters!$B$2, D7)/Parameters!$B$6, 0)</f>
        <v>826340.44400147896</v>
      </c>
      <c r="G7" s="13">
        <f>F7*IF(E7="", Parameters!$B$2, E7)</f>
        <v>1322144710.4023664</v>
      </c>
      <c r="H7" s="2">
        <f>G7*Parameters!$B$4</f>
        <v>34375762.470461525</v>
      </c>
      <c r="I7" s="2">
        <f>1/POWER(1+Parameters!$B$5, A7)</f>
        <v>0.56447393005377722</v>
      </c>
      <c r="J7" s="6">
        <f t="shared" si="0"/>
        <v>19404221.740296558</v>
      </c>
      <c r="K7" s="6">
        <f>SUM($G$2:G7)</f>
        <v>7932868262.4141989</v>
      </c>
      <c r="L7">
        <f t="shared" si="1"/>
        <v>785023.42180140503</v>
      </c>
      <c r="M7" s="14">
        <f>L7*IF(E7="",Parameters!$B$2,E7)</f>
        <v>1256037474.8822479</v>
      </c>
      <c r="N7" s="17">
        <f t="shared" si="2"/>
        <v>31526540.619544424</v>
      </c>
      <c r="O7" s="17">
        <f t="shared" si="3"/>
        <v>17795910.284514286</v>
      </c>
    </row>
    <row r="8" spans="1:15">
      <c r="A8" s="2">
        <v>7</v>
      </c>
      <c r="B8" s="2">
        <v>16000000</v>
      </c>
      <c r="C8" s="2">
        <v>1.9590000000000001</v>
      </c>
      <c r="D8" s="2">
        <v>0.82</v>
      </c>
      <c r="E8" s="2">
        <v>1600</v>
      </c>
      <c r="F8" s="2">
        <f>IFERROR(B8*C8*IF(D8="", Parameters!$B$2, D8)/Parameters!$B$6, 0)</f>
        <v>826340.44400147896</v>
      </c>
      <c r="G8" s="13">
        <f>F8*IF(E8="", Parameters!$B$2, E8)</f>
        <v>1322144710.4023664</v>
      </c>
      <c r="H8" s="2">
        <f>G8*Parameters!$B$4</f>
        <v>34375762.470461525</v>
      </c>
      <c r="I8" s="2">
        <f>1/POWER(1+Parameters!$B$5, A8)</f>
        <v>0.51315811823070645</v>
      </c>
      <c r="J8" s="6">
        <f t="shared" si="0"/>
        <v>17640201.582087778</v>
      </c>
      <c r="K8" s="6">
        <f>SUM($G$2:G8)</f>
        <v>9255012972.8165646</v>
      </c>
      <c r="L8">
        <f t="shared" si="1"/>
        <v>785023.42180140503</v>
      </c>
      <c r="M8" s="14">
        <f>L8*IF(E8="",Parameters!$B$2,E8)</f>
        <v>1256037474.8822479</v>
      </c>
      <c r="N8" s="17">
        <f t="shared" si="2"/>
        <v>31526540.619544424</v>
      </c>
      <c r="O8" s="17">
        <f t="shared" si="3"/>
        <v>16178100.258649347</v>
      </c>
    </row>
    <row r="9" spans="1:15">
      <c r="A9" s="2">
        <v>8</v>
      </c>
      <c r="B9" s="2">
        <v>16000000</v>
      </c>
      <c r="C9" s="2">
        <v>1.9590000000000001</v>
      </c>
      <c r="D9" s="2">
        <v>0.82</v>
      </c>
      <c r="E9" s="2">
        <v>1600</v>
      </c>
      <c r="F9" s="2">
        <f>IFERROR(B9*C9*IF(D9="", Parameters!$B$2, D9)/Parameters!$B$6, 0)</f>
        <v>826340.44400147896</v>
      </c>
      <c r="G9" s="13">
        <f>F9*IF(E9="", Parameters!$B$2, E9)</f>
        <v>1322144710.4023664</v>
      </c>
      <c r="H9" s="2">
        <f>G9*Parameters!$B$4</f>
        <v>34375762.470461525</v>
      </c>
      <c r="I9" s="2">
        <f>1/POWER(1+Parameters!$B$5, A9)</f>
        <v>0.46650738020973315</v>
      </c>
      <c r="J9" s="6">
        <f t="shared" si="0"/>
        <v>16036546.89280707</v>
      </c>
      <c r="K9" s="6">
        <f>SUM($G$2:G9)</f>
        <v>10577157683.218931</v>
      </c>
      <c r="L9">
        <f t="shared" si="1"/>
        <v>785023.42180140503</v>
      </c>
      <c r="M9" s="14">
        <f>L9*IF(E9="",Parameters!$B$2,E9)</f>
        <v>1256037474.8822479</v>
      </c>
      <c r="N9" s="17">
        <f t="shared" si="2"/>
        <v>31526540.619544424</v>
      </c>
      <c r="O9" s="17">
        <f t="shared" si="3"/>
        <v>14707363.871499406</v>
      </c>
    </row>
    <row r="10" spans="1:15">
      <c r="A10" s="2">
        <v>9</v>
      </c>
      <c r="B10" s="2">
        <v>16000000</v>
      </c>
      <c r="C10" s="2">
        <v>1.9590000000000001</v>
      </c>
      <c r="D10" s="2">
        <v>0.82</v>
      </c>
      <c r="E10" s="2">
        <v>1600</v>
      </c>
      <c r="F10" s="2">
        <f>IFERROR(B10*C10*IF(D10="", Parameters!$B$2, D10)/Parameters!$B$6, 0)</f>
        <v>826340.44400147896</v>
      </c>
      <c r="G10" s="13">
        <f>F10*IF(E10="", Parameters!$B$2, E10)</f>
        <v>1322144710.4023664</v>
      </c>
      <c r="H10" s="2">
        <f>G10*Parameters!$B$4</f>
        <v>34375762.470461525</v>
      </c>
      <c r="I10" s="2">
        <f>1/POWER(1+Parameters!$B$5, A10)</f>
        <v>0.42409761837248466</v>
      </c>
      <c r="J10" s="6">
        <f t="shared" si="0"/>
        <v>14578678.993460972</v>
      </c>
      <c r="K10" s="6">
        <f>SUM($G$2:G10)</f>
        <v>11899302393.621298</v>
      </c>
      <c r="L10">
        <f t="shared" si="1"/>
        <v>785023.42180140503</v>
      </c>
      <c r="M10" s="14">
        <f>L10*IF(E10="",Parameters!$B$2,E10)</f>
        <v>1256037474.8822479</v>
      </c>
      <c r="N10" s="17">
        <f t="shared" si="2"/>
        <v>31526540.619544424</v>
      </c>
      <c r="O10" s="17">
        <f t="shared" si="3"/>
        <v>13370330.792272188</v>
      </c>
    </row>
    <row r="11" spans="1:15">
      <c r="A11" s="2">
        <v>10</v>
      </c>
      <c r="B11" s="2">
        <v>16000000</v>
      </c>
      <c r="C11" s="2">
        <v>1.9590000000000001</v>
      </c>
      <c r="D11" s="2">
        <v>0.82</v>
      </c>
      <c r="E11" s="2">
        <v>1600</v>
      </c>
      <c r="F11" s="2">
        <f>IFERROR(B11*C11*IF(D11="", Parameters!$B$2, D11)/Parameters!$B$6, 0)</f>
        <v>826340.44400147896</v>
      </c>
      <c r="G11" s="13">
        <f>F11*IF(E11="", Parameters!$B$2, E11)</f>
        <v>1322144710.4023664</v>
      </c>
      <c r="H11" s="2">
        <f>G11*Parameters!$B$4</f>
        <v>34375762.470461525</v>
      </c>
      <c r="I11" s="2">
        <f>1/POWER(1+Parameters!$B$5, A11)</f>
        <v>0.38554328942953148</v>
      </c>
      <c r="J11" s="6">
        <f t="shared" si="0"/>
        <v>13253344.539509974</v>
      </c>
      <c r="K11" s="6">
        <f>SUM($G$2:G11)</f>
        <v>13221447104.023664</v>
      </c>
      <c r="L11">
        <f t="shared" si="1"/>
        <v>785023.42180140503</v>
      </c>
      <c r="M11" s="14">
        <f>L11*IF(E11="",Parameters!$B$2,E11)</f>
        <v>1256037474.8822479</v>
      </c>
      <c r="N11" s="17">
        <f t="shared" si="2"/>
        <v>31526540.619544424</v>
      </c>
      <c r="O11" s="17">
        <f t="shared" si="3"/>
        <v>12154846.174792897</v>
      </c>
    </row>
    <row r="12" spans="1:15">
      <c r="A12" s="2">
        <v>11</v>
      </c>
      <c r="B12" s="2">
        <v>16000000</v>
      </c>
      <c r="C12" s="2">
        <v>1.9590000000000001</v>
      </c>
      <c r="D12" s="2">
        <v>0.82</v>
      </c>
      <c r="E12" s="2">
        <v>1600</v>
      </c>
      <c r="F12" s="2">
        <f>IFERROR(B12*C12*IF(D12="", Parameters!$B$2, D12)/Parameters!$B$6, 0)</f>
        <v>826340.44400147896</v>
      </c>
      <c r="G12" s="13">
        <f>F12*IF(E12="", Parameters!$B$2, E12)</f>
        <v>1322144710.4023664</v>
      </c>
      <c r="H12" s="2">
        <f>G12*Parameters!$B$4</f>
        <v>34375762.470461525</v>
      </c>
      <c r="I12" s="2">
        <f>1/POWER(1+Parameters!$B$5, A12)</f>
        <v>0.3504938994813922</v>
      </c>
      <c r="J12" s="6">
        <f t="shared" si="0"/>
        <v>12048495.035918156</v>
      </c>
      <c r="K12" s="6">
        <f>SUM($G$2:G12)</f>
        <v>14543591814.426031</v>
      </c>
      <c r="L12">
        <f t="shared" si="1"/>
        <v>785023.42180140503</v>
      </c>
      <c r="M12" s="14">
        <f>L12*IF(E12="",Parameters!$B$2,E12)</f>
        <v>1256037474.8822479</v>
      </c>
      <c r="N12" s="17">
        <f t="shared" si="2"/>
        <v>31526540.619544424</v>
      </c>
      <c r="O12" s="17">
        <f t="shared" si="3"/>
        <v>11049860.158902632</v>
      </c>
    </row>
    <row r="13" spans="1:15">
      <c r="A13" s="2">
        <v>12</v>
      </c>
      <c r="B13" s="2">
        <v>16000000</v>
      </c>
      <c r="C13" s="2">
        <v>1.9590000000000001</v>
      </c>
      <c r="D13" s="2">
        <v>0.82</v>
      </c>
      <c r="E13" s="2">
        <v>1600</v>
      </c>
      <c r="F13" s="2">
        <f>IFERROR(B13*C13*IF(D13="", Parameters!$B$2, D13)/Parameters!$B$6, 0)</f>
        <v>826340.44400147896</v>
      </c>
      <c r="G13" s="13">
        <f>F13*IF(E13="", Parameters!$B$2, E13)</f>
        <v>1322144710.4023664</v>
      </c>
      <c r="H13" s="2">
        <f>G13*Parameters!$B$4</f>
        <v>34375762.470461525</v>
      </c>
      <c r="I13" s="2">
        <f>1/POWER(1+Parameters!$B$5, A13)</f>
        <v>0.31863081771035656</v>
      </c>
      <c r="J13" s="6">
        <f t="shared" si="0"/>
        <v>10953177.305380143</v>
      </c>
      <c r="K13" s="6">
        <f>SUM($G$2:G13)</f>
        <v>15865736524.828398</v>
      </c>
      <c r="L13">
        <f t="shared" si="1"/>
        <v>785023.42180140503</v>
      </c>
      <c r="M13" s="14">
        <f>L13*IF(E13="",Parameters!$B$2,E13)</f>
        <v>1256037474.8822479</v>
      </c>
      <c r="N13" s="17">
        <f t="shared" si="2"/>
        <v>31526540.619544424</v>
      </c>
      <c r="O13" s="17">
        <f t="shared" si="3"/>
        <v>10045327.417184211</v>
      </c>
    </row>
    <row r="14" spans="1:15">
      <c r="A14" s="2">
        <v>13</v>
      </c>
      <c r="B14" s="2">
        <v>16000000</v>
      </c>
      <c r="C14" s="2">
        <v>1.9590000000000001</v>
      </c>
      <c r="D14" s="2">
        <v>0.82</v>
      </c>
      <c r="E14" s="2">
        <v>1600</v>
      </c>
      <c r="F14" s="2">
        <f>IFERROR(B14*C14*IF(D14="", Parameters!$B$2, D14)/Parameters!$B$6, 0)</f>
        <v>826340.44400147896</v>
      </c>
      <c r="G14" s="13">
        <f>F14*IF(E14="", Parameters!$B$2, E14)</f>
        <v>1322144710.4023664</v>
      </c>
      <c r="H14" s="2">
        <f>G14*Parameters!$B$4</f>
        <v>34375762.470461525</v>
      </c>
      <c r="I14" s="2">
        <f>1/POWER(1+Parameters!$B$5, A14)</f>
        <v>0.28966437973668779</v>
      </c>
      <c r="J14" s="6">
        <f t="shared" si="0"/>
        <v>9957433.913981948</v>
      </c>
      <c r="K14" s="6">
        <f>SUM($G$2:G14)</f>
        <v>17187881235.230762</v>
      </c>
      <c r="L14">
        <f t="shared" si="1"/>
        <v>785023.42180140503</v>
      </c>
      <c r="M14" s="14">
        <f>L14*IF(E14="",Parameters!$B$2,E14)</f>
        <v>1256037474.8822479</v>
      </c>
      <c r="N14" s="17">
        <f t="shared" si="2"/>
        <v>31526540.619544424</v>
      </c>
      <c r="O14" s="17">
        <f t="shared" si="3"/>
        <v>9132115.8338038288</v>
      </c>
    </row>
    <row r="15" spans="1:15">
      <c r="A15" s="2">
        <v>14</v>
      </c>
      <c r="B15" s="2">
        <v>16000000</v>
      </c>
      <c r="C15" s="2">
        <v>1.9590000000000001</v>
      </c>
      <c r="D15" s="2">
        <v>0.82</v>
      </c>
      <c r="E15" s="2">
        <v>1600</v>
      </c>
      <c r="F15" s="2">
        <f>IFERROR(B15*C15*IF(D15="", Parameters!$B$2, D15)/Parameters!$B$6, 0)</f>
        <v>826340.44400147896</v>
      </c>
      <c r="G15" s="13">
        <f>F15*IF(E15="", Parameters!$B$2, E15)</f>
        <v>1322144710.4023664</v>
      </c>
      <c r="H15" s="2">
        <f>G15*Parameters!$B$4</f>
        <v>34375762.470461525</v>
      </c>
      <c r="I15" s="2">
        <f>1/POWER(1+Parameters!$B$5, A15)</f>
        <v>0.26333125430607973</v>
      </c>
      <c r="J15" s="6">
        <f t="shared" si="0"/>
        <v>9052212.6490744948</v>
      </c>
      <c r="K15" s="6">
        <f>SUM($G$2:G15)</f>
        <v>18510025945.633129</v>
      </c>
      <c r="L15">
        <f t="shared" si="1"/>
        <v>785023.42180140503</v>
      </c>
      <c r="M15" s="14">
        <f>L15*IF(E15="",Parameters!$B$2,E15)</f>
        <v>1256037474.8822479</v>
      </c>
      <c r="N15" s="17">
        <f t="shared" si="2"/>
        <v>31526540.619544424</v>
      </c>
      <c r="O15" s="17">
        <f t="shared" si="3"/>
        <v>8301923.4852762055</v>
      </c>
    </row>
    <row r="16" spans="1:15">
      <c r="A16" s="2">
        <v>15</v>
      </c>
      <c r="B16" s="2">
        <v>16000000</v>
      </c>
      <c r="C16" s="2">
        <v>1.9590000000000001</v>
      </c>
      <c r="D16" s="2">
        <v>0.82</v>
      </c>
      <c r="E16" s="2">
        <v>1600</v>
      </c>
      <c r="F16" s="2">
        <f>IFERROR(B16*C16*IF(D16="", Parameters!$B$2, D16)/Parameters!$B$6, 0)</f>
        <v>826340.44400147896</v>
      </c>
      <c r="G16" s="13">
        <f>F16*IF(E16="", Parameters!$B$2, E16)</f>
        <v>1322144710.4023664</v>
      </c>
      <c r="H16" s="2">
        <f>G16*Parameters!$B$4</f>
        <v>34375762.470461525</v>
      </c>
      <c r="I16" s="2">
        <f>1/POWER(1+Parameters!$B$5, A16)</f>
        <v>0.23939204936916339</v>
      </c>
      <c r="J16" s="6">
        <f t="shared" si="0"/>
        <v>8229284.2264313595</v>
      </c>
      <c r="K16" s="6">
        <f>SUM($G$2:G16)</f>
        <v>19832170656.035496</v>
      </c>
      <c r="L16">
        <f t="shared" si="1"/>
        <v>785023.42180140503</v>
      </c>
      <c r="M16" s="14">
        <f>L16*IF(E16="",Parameters!$B$2,E16)</f>
        <v>1256037474.8822479</v>
      </c>
      <c r="N16" s="17">
        <f t="shared" si="2"/>
        <v>31526540.619544424</v>
      </c>
      <c r="O16" s="17">
        <f t="shared" si="3"/>
        <v>7547203.1684329137</v>
      </c>
    </row>
    <row r="17" spans="1:15">
      <c r="A17" s="2">
        <v>16</v>
      </c>
      <c r="B17" s="2">
        <v>16000000</v>
      </c>
      <c r="C17" s="2">
        <v>1.9590000000000001</v>
      </c>
      <c r="D17" s="2">
        <v>0.82</v>
      </c>
      <c r="E17" s="2">
        <v>1600</v>
      </c>
      <c r="F17" s="2">
        <f>IFERROR(B17*C17*IF(D17="", Parameters!$B$2, D17)/Parameters!$B$6, 0)</f>
        <v>826340.44400147896</v>
      </c>
      <c r="G17" s="13">
        <f>F17*IF(E17="", Parameters!$B$2, E17)</f>
        <v>1322144710.4023664</v>
      </c>
      <c r="H17" s="2">
        <f>G17*Parameters!$B$4</f>
        <v>34375762.470461525</v>
      </c>
      <c r="I17" s="2">
        <f>1/POWER(1+Parameters!$B$5, A17)</f>
        <v>0.21762913579014853</v>
      </c>
      <c r="J17" s="6">
        <f t="shared" si="0"/>
        <v>7481167.478573963</v>
      </c>
      <c r="K17" s="6">
        <f>SUM($G$2:G17)</f>
        <v>21154315366.437862</v>
      </c>
      <c r="L17">
        <f t="shared" si="1"/>
        <v>785023.42180140503</v>
      </c>
      <c r="M17" s="14">
        <f>L17*IF(E17="",Parameters!$B$2,E17)</f>
        <v>1256037474.8822479</v>
      </c>
      <c r="N17" s="17">
        <f t="shared" si="2"/>
        <v>31526540.619544424</v>
      </c>
      <c r="O17" s="17">
        <f t="shared" si="3"/>
        <v>6861093.7894844664</v>
      </c>
    </row>
    <row r="18" spans="1:15">
      <c r="A18" s="2">
        <v>17</v>
      </c>
      <c r="B18" s="2">
        <v>16000000</v>
      </c>
      <c r="C18" s="2">
        <v>1.9590000000000001</v>
      </c>
      <c r="D18" s="2">
        <v>0.82</v>
      </c>
      <c r="E18" s="2">
        <v>1600</v>
      </c>
      <c r="F18" s="2">
        <f>IFERROR(B18*C18*IF(D18="", Parameters!$B$2, D18)/Parameters!$B$6, 0)</f>
        <v>826340.44400147896</v>
      </c>
      <c r="G18" s="13">
        <f>F18*IF(E18="", Parameters!$B$2, E18)</f>
        <v>1322144710.4023664</v>
      </c>
      <c r="H18" s="2">
        <f>G18*Parameters!$B$4</f>
        <v>34375762.470461525</v>
      </c>
      <c r="I18" s="2">
        <f>1/POWER(1+Parameters!$B$5, A18)</f>
        <v>0.19784466890013502</v>
      </c>
      <c r="J18" s="6">
        <f t="shared" si="0"/>
        <v>6801061.3441581484</v>
      </c>
      <c r="K18" s="6">
        <f>SUM($G$2:G18)</f>
        <v>22476460076.840229</v>
      </c>
      <c r="L18">
        <f t="shared" si="1"/>
        <v>785023.42180140503</v>
      </c>
      <c r="M18" s="14">
        <f>L18*IF(E18="",Parameters!$B$2,E18)</f>
        <v>1256037474.8822479</v>
      </c>
      <c r="N18" s="17">
        <f t="shared" si="2"/>
        <v>31526540.619544424</v>
      </c>
      <c r="O18" s="17">
        <f t="shared" si="3"/>
        <v>6237357.9904404245</v>
      </c>
    </row>
    <row r="19" spans="1:15">
      <c r="A19" s="2">
        <v>18</v>
      </c>
      <c r="B19" s="2">
        <v>16000000</v>
      </c>
      <c r="C19" s="2">
        <v>1.9590000000000001</v>
      </c>
      <c r="D19" s="2">
        <v>0.82</v>
      </c>
      <c r="E19" s="2">
        <v>1600</v>
      </c>
      <c r="F19" s="2">
        <f>IFERROR(B19*C19*IF(D19="", Parameters!$B$2, D19)/Parameters!$B$6, 0)</f>
        <v>826340.44400147896</v>
      </c>
      <c r="G19" s="13">
        <f>F19*IF(E19="", Parameters!$B$2, E19)</f>
        <v>1322144710.4023664</v>
      </c>
      <c r="H19" s="2">
        <f>G19*Parameters!$B$4</f>
        <v>34375762.470461525</v>
      </c>
      <c r="I19" s="2">
        <f>1/POWER(1+Parameters!$B$5, A19)</f>
        <v>0.17985878990921364</v>
      </c>
      <c r="J19" s="6">
        <f t="shared" si="0"/>
        <v>6182783.0401437702</v>
      </c>
      <c r="K19" s="6">
        <f>SUM($G$2:G19)</f>
        <v>23798604787.242596</v>
      </c>
      <c r="L19">
        <f t="shared" si="1"/>
        <v>785023.42180140503</v>
      </c>
      <c r="M19" s="14">
        <f>L19*IF(E19="",Parameters!$B$2,E19)</f>
        <v>1256037474.8822479</v>
      </c>
      <c r="N19" s="17">
        <f t="shared" si="2"/>
        <v>31526540.619544424</v>
      </c>
      <c r="O19" s="17">
        <f t="shared" si="3"/>
        <v>5670325.4458549302</v>
      </c>
    </row>
    <row r="20" spans="1:15">
      <c r="A20" s="2">
        <v>19</v>
      </c>
      <c r="B20" s="2">
        <v>16000000</v>
      </c>
      <c r="C20" s="2">
        <v>1.9590000000000001</v>
      </c>
      <c r="D20" s="2">
        <v>0.82</v>
      </c>
      <c r="E20" s="2">
        <v>1600</v>
      </c>
      <c r="F20" s="2">
        <f>IFERROR(B20*C20*IF(D20="", Parameters!$B$2, D20)/Parameters!$B$6, 0)</f>
        <v>826340.44400147896</v>
      </c>
      <c r="G20" s="13">
        <f>F20*IF(E20="", Parameters!$B$2, E20)</f>
        <v>1322144710.4023664</v>
      </c>
      <c r="H20" s="2">
        <f>G20*Parameters!$B$4</f>
        <v>34375762.470461525</v>
      </c>
      <c r="I20" s="2">
        <f>1/POWER(1+Parameters!$B$5, A20)</f>
        <v>0.16350799082655781</v>
      </c>
      <c r="J20" s="6">
        <f t="shared" si="0"/>
        <v>5620711.8546761535</v>
      </c>
      <c r="K20" s="6">
        <f>SUM($G$2:G20)</f>
        <v>25120749497.644962</v>
      </c>
      <c r="L20">
        <f t="shared" si="1"/>
        <v>785023.42180140503</v>
      </c>
      <c r="M20" s="14">
        <f>L20*IF(E20="",Parameters!$B$2,E20)</f>
        <v>1256037474.8822479</v>
      </c>
      <c r="N20" s="17">
        <f t="shared" si="2"/>
        <v>31526540.619544424</v>
      </c>
      <c r="O20" s="17">
        <f t="shared" si="3"/>
        <v>5154841.3144135717</v>
      </c>
    </row>
    <row r="21" spans="1:15">
      <c r="A21" s="2">
        <v>20</v>
      </c>
      <c r="B21" s="2">
        <v>16000000</v>
      </c>
      <c r="C21" s="2">
        <v>1.9590000000000001</v>
      </c>
      <c r="D21" s="2">
        <v>0.82</v>
      </c>
      <c r="E21" s="2">
        <v>1600</v>
      </c>
      <c r="F21" s="2">
        <f>IFERROR(B21*C21*IF(D21="", Parameters!$B$2, D21)/Parameters!$B$6, 0)</f>
        <v>826340.44400147896</v>
      </c>
      <c r="G21" s="13">
        <f>F21*IF(E21="", Parameters!$B$2, E21)</f>
        <v>1322144710.4023664</v>
      </c>
      <c r="H21" s="2">
        <f>G21*Parameters!$B$4</f>
        <v>34375762.470461525</v>
      </c>
      <c r="I21" s="2">
        <f>1/POWER(1+Parameters!$B$5, A21)</f>
        <v>0.14864362802414349</v>
      </c>
      <c r="J21" s="6">
        <f t="shared" si="0"/>
        <v>5109738.0497055948</v>
      </c>
      <c r="K21" s="6">
        <f>SUM($G$2:G21)</f>
        <v>26442894208.047329</v>
      </c>
      <c r="L21">
        <f t="shared" si="1"/>
        <v>785023.42180140503</v>
      </c>
      <c r="M21" s="14">
        <f>L21*IF(E21="",Parameters!$B$2,E21)</f>
        <v>1256037474.8822479</v>
      </c>
      <c r="N21" s="17">
        <f t="shared" si="2"/>
        <v>31526540.619544424</v>
      </c>
      <c r="O21" s="17">
        <f t="shared" si="3"/>
        <v>4686219.3767396118</v>
      </c>
    </row>
    <row r="22" spans="1:15">
      <c r="A22" s="2">
        <v>21</v>
      </c>
      <c r="B22" s="2">
        <v>16000000</v>
      </c>
      <c r="C22" s="2">
        <v>1.9590000000000001</v>
      </c>
      <c r="D22" s="2">
        <v>0.82</v>
      </c>
      <c r="E22" s="2">
        <v>1600</v>
      </c>
      <c r="F22" s="2">
        <f>IFERROR(B22*C22*IF(D22="", Parameters!$B$2, D22)/Parameters!$B$6, 0)</f>
        <v>826340.44400147896</v>
      </c>
      <c r="G22" s="13">
        <f>F22*IF(E22="", Parameters!$B$2, E22)</f>
        <v>1322144710.4023664</v>
      </c>
      <c r="H22" s="2">
        <f>G22*Parameters!$B$4</f>
        <v>34375762.470461525</v>
      </c>
      <c r="I22" s="2">
        <f>1/POWER(1+Parameters!$B$5, A22)</f>
        <v>0.13513057093103953</v>
      </c>
      <c r="J22" s="6">
        <f t="shared" si="0"/>
        <v>4645216.4088232676</v>
      </c>
      <c r="K22" s="6">
        <f>SUM($G$2:G22)</f>
        <v>27765038918.449696</v>
      </c>
      <c r="L22">
        <f t="shared" si="1"/>
        <v>785023.42180140503</v>
      </c>
      <c r="M22" s="14">
        <f>L22*IF(E22="",Parameters!$B$2,E22)</f>
        <v>1256037474.8822479</v>
      </c>
      <c r="N22" s="17">
        <f t="shared" si="2"/>
        <v>31526540.619544424</v>
      </c>
      <c r="O22" s="17">
        <f t="shared" si="3"/>
        <v>4260199.4333996465</v>
      </c>
    </row>
    <row r="23" spans="1:15">
      <c r="A23" s="2">
        <v>22</v>
      </c>
      <c r="B23" s="2">
        <v>16000000</v>
      </c>
      <c r="C23" s="2">
        <v>1.9590000000000001</v>
      </c>
      <c r="D23" s="2">
        <v>0.82</v>
      </c>
      <c r="E23" s="2">
        <v>1600</v>
      </c>
      <c r="F23" s="2">
        <f>IFERROR(B23*C23*IF(D23="", Parameters!$B$2, D23)/Parameters!$B$6, 0)</f>
        <v>826340.44400147896</v>
      </c>
      <c r="G23" s="13">
        <f>F23*IF(E23="", Parameters!$B$2, E23)</f>
        <v>1322144710.4023664</v>
      </c>
      <c r="H23" s="2">
        <f>G23*Parameters!$B$4</f>
        <v>34375762.470461525</v>
      </c>
      <c r="I23" s="2">
        <f>1/POWER(1+Parameters!$B$5, A23)</f>
        <v>0.12284597357367227</v>
      </c>
      <c r="J23" s="6">
        <f t="shared" si="0"/>
        <v>4222924.0080211516</v>
      </c>
      <c r="K23" s="6">
        <f>SUM($G$2:G23)</f>
        <v>29087183628.852062</v>
      </c>
      <c r="L23">
        <f t="shared" si="1"/>
        <v>785023.42180140503</v>
      </c>
      <c r="M23" s="14">
        <f>L23*IF(E23="",Parameters!$B$2,E23)</f>
        <v>1256037474.8822479</v>
      </c>
      <c r="N23" s="17">
        <f t="shared" si="2"/>
        <v>31526540.619544424</v>
      </c>
      <c r="O23" s="17">
        <f t="shared" si="3"/>
        <v>3872908.5758178597</v>
      </c>
    </row>
    <row r="24" spans="1:15">
      <c r="A24" s="2">
        <v>23</v>
      </c>
      <c r="B24" s="2">
        <v>16000000</v>
      </c>
      <c r="C24" s="2">
        <v>1.9590000000000001</v>
      </c>
      <c r="D24" s="2">
        <v>0.82</v>
      </c>
      <c r="E24" s="2">
        <v>1600</v>
      </c>
      <c r="F24" s="2">
        <f>IFERROR(B24*C24*IF(D24="", Parameters!$B$2, D24)/Parameters!$B$6, 0)</f>
        <v>826340.44400147896</v>
      </c>
      <c r="G24" s="13">
        <f>F24*IF(E24="", Parameters!$B$2, E24)</f>
        <v>1322144710.4023664</v>
      </c>
      <c r="H24" s="2">
        <f>G24*Parameters!$B$4</f>
        <v>34375762.470461525</v>
      </c>
      <c r="I24" s="2">
        <f>1/POWER(1+Parameters!$B$5, A24)</f>
        <v>0.11167815779424752</v>
      </c>
      <c r="J24" s="6">
        <f t="shared" si="0"/>
        <v>3839021.8254737738</v>
      </c>
      <c r="K24" s="6">
        <f>SUM($G$2:G24)</f>
        <v>30409328339.254429</v>
      </c>
      <c r="L24">
        <f t="shared" si="1"/>
        <v>785023.42180140503</v>
      </c>
      <c r="M24" s="14">
        <f>L24*IF(E24="",Parameters!$B$2,E24)</f>
        <v>1256037474.8822479</v>
      </c>
      <c r="N24" s="17">
        <f t="shared" si="2"/>
        <v>31526540.619544424</v>
      </c>
      <c r="O24" s="17">
        <f t="shared" si="3"/>
        <v>3520825.9780162359</v>
      </c>
    </row>
    <row r="25" spans="1:15">
      <c r="A25" s="2">
        <v>24</v>
      </c>
      <c r="B25" s="2">
        <v>16000000</v>
      </c>
      <c r="C25" s="2">
        <v>1.9590000000000001</v>
      </c>
      <c r="D25" s="2">
        <v>0.82</v>
      </c>
      <c r="E25" s="2">
        <v>1600</v>
      </c>
      <c r="F25" s="2">
        <f>IFERROR(B25*C25*IF(D25="", Parameters!$B$2, D25)/Parameters!$B$6, 0)</f>
        <v>826340.44400147896</v>
      </c>
      <c r="G25" s="13">
        <f>F25*IF(E25="", Parameters!$B$2, E25)</f>
        <v>1322144710.4023664</v>
      </c>
      <c r="H25" s="2">
        <f>G25*Parameters!$B$4</f>
        <v>34375762.470461525</v>
      </c>
      <c r="I25" s="2">
        <f>1/POWER(1+Parameters!$B$5, A25)</f>
        <v>0.10152559799477048</v>
      </c>
      <c r="J25" s="6">
        <f t="shared" si="0"/>
        <v>3490019.8413397949</v>
      </c>
      <c r="K25" s="6">
        <f>SUM($G$2:G25)</f>
        <v>31731473049.656796</v>
      </c>
      <c r="L25">
        <f t="shared" si="1"/>
        <v>785023.42180140503</v>
      </c>
      <c r="M25" s="14">
        <f>L25*IF(E25="",Parameters!$B$2,E25)</f>
        <v>1256037474.8822479</v>
      </c>
      <c r="N25" s="17">
        <f t="shared" si="2"/>
        <v>31526540.619544424</v>
      </c>
      <c r="O25" s="17">
        <f t="shared" si="3"/>
        <v>3200750.8891056697</v>
      </c>
    </row>
    <row r="26" spans="1:15">
      <c r="A26" s="2">
        <v>25</v>
      </c>
      <c r="B26" s="2">
        <v>16000000</v>
      </c>
      <c r="C26" s="2">
        <v>1.9590000000000001</v>
      </c>
      <c r="D26" s="2">
        <v>0.82</v>
      </c>
      <c r="E26" s="2">
        <v>1600</v>
      </c>
      <c r="F26" s="2">
        <f>IFERROR(B26*C26*IF(D26="", Parameters!$B$2, D26)/Parameters!$B$6, 0)</f>
        <v>826340.44400147896</v>
      </c>
      <c r="G26" s="13">
        <f>F26*IF(E26="", Parameters!$B$2, E26)</f>
        <v>1322144710.4023664</v>
      </c>
      <c r="H26" s="2">
        <f>G26*Parameters!$B$4</f>
        <v>34375762.470461525</v>
      </c>
      <c r="I26" s="2">
        <f>1/POWER(1+Parameters!$B$5, A26)</f>
        <v>9.2295998177064048E-2</v>
      </c>
      <c r="J26" s="6">
        <f t="shared" si="0"/>
        <v>3172745.3103089035</v>
      </c>
      <c r="K26" s="6">
        <f>SUM($G$2:G26)</f>
        <v>33053617760.059162</v>
      </c>
      <c r="L26">
        <f t="shared" si="1"/>
        <v>785023.42180140503</v>
      </c>
      <c r="M26" s="14">
        <f>L26*IF(E26="",Parameters!$B$2,E26)</f>
        <v>1256037474.8822479</v>
      </c>
      <c r="N26" s="17">
        <f t="shared" si="2"/>
        <v>31526540.619544424</v>
      </c>
      <c r="O26" s="17">
        <f t="shared" si="3"/>
        <v>2909773.5355506078</v>
      </c>
    </row>
    <row r="27" spans="1:15">
      <c r="A27" s="2">
        <v>26</v>
      </c>
      <c r="B27" s="2">
        <v>16000000</v>
      </c>
      <c r="C27" s="2">
        <v>1.9590000000000001</v>
      </c>
      <c r="D27" s="2">
        <v>0.82</v>
      </c>
      <c r="E27" s="2">
        <v>1600</v>
      </c>
      <c r="F27" s="2">
        <f>IFERROR(B27*C27*IF(D27="", Parameters!$B$2, D27)/Parameters!$B$6, 0)</f>
        <v>826340.44400147896</v>
      </c>
      <c r="G27" s="13">
        <f>F27*IF(E27="", Parameters!$B$2, E27)</f>
        <v>1322144710.4023664</v>
      </c>
      <c r="H27" s="2">
        <f>G27*Parameters!$B$4</f>
        <v>34375762.470461525</v>
      </c>
      <c r="I27" s="2">
        <f>1/POWER(1+Parameters!$B$5, A27)</f>
        <v>8.3905452888240042E-2</v>
      </c>
      <c r="J27" s="6">
        <f t="shared" si="0"/>
        <v>2884313.9184626397</v>
      </c>
      <c r="K27" s="6">
        <f>SUM($G$2:G27)</f>
        <v>34375762470.461525</v>
      </c>
      <c r="L27">
        <f t="shared" si="1"/>
        <v>785023.42180140503</v>
      </c>
      <c r="M27" s="14">
        <f>L27*IF(E27="",Parameters!$B$2,E27)</f>
        <v>1256037474.8822479</v>
      </c>
      <c r="N27" s="17">
        <f t="shared" si="2"/>
        <v>31526540.619544424</v>
      </c>
      <c r="O27" s="17">
        <f t="shared" si="3"/>
        <v>2645248.6686823708</v>
      </c>
    </row>
    <row r="28" spans="1:15">
      <c r="A28" s="2">
        <v>27</v>
      </c>
      <c r="B28" s="2">
        <v>16000000</v>
      </c>
      <c r="C28" s="2">
        <v>1.9590000000000001</v>
      </c>
      <c r="D28" s="2">
        <v>0.82</v>
      </c>
      <c r="E28" s="2">
        <v>1600</v>
      </c>
      <c r="F28" s="2">
        <f>IFERROR(B28*C28*IF(D28="", Parameters!$B$2, D28)/Parameters!$B$6, 0)</f>
        <v>826340.44400147896</v>
      </c>
      <c r="G28" s="13">
        <f>F28*IF(E28="", Parameters!$B$2, E28)</f>
        <v>1322144710.4023664</v>
      </c>
      <c r="H28" s="2">
        <f>G28*Parameters!$B$4</f>
        <v>34375762.470461525</v>
      </c>
      <c r="I28" s="2">
        <f>1/POWER(1+Parameters!$B$5, A28)</f>
        <v>7.6277684443854576E-2</v>
      </c>
      <c r="J28" s="6">
        <f t="shared" si="0"/>
        <v>2622103.5622387631</v>
      </c>
      <c r="K28" s="6">
        <f>SUM($G$2:G28)</f>
        <v>35697907180.863892</v>
      </c>
      <c r="L28">
        <f t="shared" si="1"/>
        <v>785023.42180140503</v>
      </c>
      <c r="M28" s="14">
        <f>L28*IF(E28="",Parameters!$B$2,E28)</f>
        <v>1256037474.8822479</v>
      </c>
      <c r="N28" s="17">
        <f t="shared" si="2"/>
        <v>31526540.619544424</v>
      </c>
      <c r="O28" s="17">
        <f t="shared" si="3"/>
        <v>2404771.5169839733</v>
      </c>
    </row>
    <row r="29" spans="1:15">
      <c r="A29" s="2">
        <v>28</v>
      </c>
      <c r="B29" s="2">
        <v>16000000</v>
      </c>
      <c r="C29" s="2">
        <v>1.9590000000000001</v>
      </c>
      <c r="D29" s="2">
        <v>0.82</v>
      </c>
      <c r="E29" s="2">
        <v>1600</v>
      </c>
      <c r="F29" s="2">
        <f>IFERROR(B29*C29*IF(D29="", Parameters!$B$2, D29)/Parameters!$B$6, 0)</f>
        <v>826340.44400147896</v>
      </c>
      <c r="G29" s="13">
        <f>F29*IF(E29="", Parameters!$B$2, E29)</f>
        <v>1322144710.4023664</v>
      </c>
      <c r="H29" s="2">
        <f>G29*Parameters!$B$4</f>
        <v>34375762.470461525</v>
      </c>
      <c r="I29" s="2">
        <f>1/POWER(1+Parameters!$B$5, A29)</f>
        <v>6.9343349494413245E-2</v>
      </c>
      <c r="J29" s="6">
        <f t="shared" si="0"/>
        <v>2383730.511126148</v>
      </c>
      <c r="K29" s="6">
        <f>SUM($G$2:G29)</f>
        <v>37020051891.266258</v>
      </c>
      <c r="L29">
        <f t="shared" si="1"/>
        <v>785023.42180140503</v>
      </c>
      <c r="M29" s="14">
        <f>L29*IF(E29="",Parameters!$B$2,E29)</f>
        <v>1256037474.8822479</v>
      </c>
      <c r="N29" s="17">
        <f t="shared" si="2"/>
        <v>31526540.619544424</v>
      </c>
      <c r="O29" s="17">
        <f t="shared" si="3"/>
        <v>2186155.9245308843</v>
      </c>
    </row>
    <row r="30" spans="1:15">
      <c r="A30" s="2">
        <v>29</v>
      </c>
      <c r="B30" s="2">
        <v>16000000</v>
      </c>
      <c r="C30" s="2">
        <v>1.9590000000000001</v>
      </c>
      <c r="D30" s="2">
        <v>0.82</v>
      </c>
      <c r="E30" s="2">
        <v>1600</v>
      </c>
      <c r="F30" s="2">
        <f>IFERROR(B30*C30*IF(D30="", Parameters!$B$2, D30)/Parameters!$B$6, 0)</f>
        <v>826340.44400147896</v>
      </c>
      <c r="G30" s="13">
        <f>F30*IF(E30="", Parameters!$B$2, E30)</f>
        <v>1322144710.4023664</v>
      </c>
      <c r="H30" s="2">
        <f>G30*Parameters!$B$4</f>
        <v>34375762.470461525</v>
      </c>
      <c r="I30" s="2">
        <f>1/POWER(1+Parameters!$B$5, A30)</f>
        <v>6.3039408631284766E-2</v>
      </c>
      <c r="J30" s="6">
        <f t="shared" si="0"/>
        <v>2167027.7373874071</v>
      </c>
      <c r="K30" s="6">
        <f>SUM($G$2:G30)</f>
        <v>38342196601.668625</v>
      </c>
      <c r="L30">
        <f t="shared" si="1"/>
        <v>785023.42180140503</v>
      </c>
      <c r="M30" s="14">
        <f>L30*IF(E30="",Parameters!$B$2,E30)</f>
        <v>1256037474.8822479</v>
      </c>
      <c r="N30" s="17">
        <f t="shared" si="2"/>
        <v>31526540.619544424</v>
      </c>
      <c r="O30" s="17">
        <f t="shared" si="3"/>
        <v>1987414.4768462586</v>
      </c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38342196601.668625</v>
      </c>
      <c r="H39">
        <f>SUM(H2:H33)</f>
        <v>996897111.64338386</v>
      </c>
      <c r="J39" s="11">
        <f>SUM(J2:J30)</f>
        <v>322087347.33074099</v>
      </c>
      <c r="O39" s="11">
        <f>SUM(O2:O30)</f>
        <v>295391261.42698151</v>
      </c>
    </row>
    <row r="40" spans="1:15">
      <c r="F40" s="3" t="s">
        <v>16</v>
      </c>
      <c r="G40" s="10">
        <f>G39</f>
        <v>38342196601.668625</v>
      </c>
    </row>
    <row r="41" spans="1:15">
      <c r="F41" s="3" t="s">
        <v>17</v>
      </c>
      <c r="G41" s="10">
        <f>H39</f>
        <v>996897111.64338386</v>
      </c>
    </row>
    <row r="42" spans="1:15">
      <c r="F42" s="3" t="s">
        <v>9</v>
      </c>
      <c r="G42" s="10">
        <f>J39</f>
        <v>322087347.33074099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A867-9D7F-498D-959F-C25DF2593156}">
  <sheetPr codeName="Sheet7"/>
  <dimension ref="A1:O42"/>
  <sheetViews>
    <sheetView topLeftCell="A12" workbookViewId="0">
      <pane xSplit="1" topLeftCell="E1" activePane="topRight" state="frozen"/>
      <selection pane="topRight" activeCell="M34" sqref="M34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17000000</v>
      </c>
      <c r="C2" s="2">
        <v>2.02</v>
      </c>
      <c r="D2" s="2">
        <v>0.82</v>
      </c>
      <c r="E2" s="2">
        <v>1600</v>
      </c>
      <c r="F2" s="2">
        <f>IFERROR(B2*C2*IF(D2="", Parameters!$B$2, D2)/Parameters!$B$6, 0)</f>
        <v>905325.76719661779</v>
      </c>
      <c r="G2" s="13">
        <f>F2*IF(E2="", Parameters!$B$2, E2)</f>
        <v>1448521227.5145884</v>
      </c>
      <c r="H2" s="2">
        <f>G2*Parameters!$B$4</f>
        <v>37661551.915379293</v>
      </c>
      <c r="I2" s="2">
        <f>1/POWER(1+Parameters!$B$5, A2)</f>
        <v>0.90909090909090906</v>
      </c>
      <c r="J2" s="6">
        <f t="shared" ref="J2:J33" si="0">H2*I2</f>
        <v>34237774.468526632</v>
      </c>
      <c r="K2" s="6">
        <f>SUM($G$2:G2)</f>
        <v>1448521227.5145884</v>
      </c>
      <c r="L2">
        <f>F2*0.95</f>
        <v>860059.47883678682</v>
      </c>
      <c r="M2" s="14">
        <f>L2*IF(E2="",Parameters!$B$2,E2)</f>
        <v>1376095166.1388588</v>
      </c>
      <c r="N2" s="17">
        <f>M2*0.0251</f>
        <v>34539988.670085356</v>
      </c>
      <c r="O2" s="17">
        <f>N2*I2</f>
        <v>31399989.700077593</v>
      </c>
    </row>
    <row r="3" spans="1:15">
      <c r="A3" s="2">
        <v>2</v>
      </c>
      <c r="B3" s="2">
        <v>17000000</v>
      </c>
      <c r="C3" s="2">
        <v>2.02</v>
      </c>
      <c r="D3" s="2">
        <v>0.82</v>
      </c>
      <c r="E3" s="2">
        <v>1600</v>
      </c>
      <c r="F3" s="2">
        <f>IFERROR(B3*C3*IF(D3="", Parameters!$B$2, D3)/Parameters!$B$6, 0)</f>
        <v>905325.76719661779</v>
      </c>
      <c r="G3" s="13">
        <f>F3*IF(E3="", Parameters!$B$2, E3)</f>
        <v>1448521227.5145884</v>
      </c>
      <c r="H3" s="2">
        <f>G3*Parameters!$B$4</f>
        <v>37661551.915379293</v>
      </c>
      <c r="I3" s="2">
        <f>1/POWER(1+Parameters!$B$5, A3)</f>
        <v>0.82644628099173545</v>
      </c>
      <c r="J3" s="6">
        <f t="shared" si="0"/>
        <v>31125249.516842388</v>
      </c>
      <c r="K3" s="6">
        <f>SUM($G$2:G3)</f>
        <v>2897042455.0291767</v>
      </c>
      <c r="L3">
        <f t="shared" ref="L3:L33" si="1">F3*0.95</f>
        <v>860059.47883678682</v>
      </c>
      <c r="M3" s="14">
        <f>L3*IF(E3="",Parameters!$B$2,E3)</f>
        <v>1376095166.1388588</v>
      </c>
      <c r="N3" s="17">
        <f t="shared" ref="N3:N30" si="2">M3*0.0251</f>
        <v>34539988.670085356</v>
      </c>
      <c r="O3" s="17">
        <f t="shared" ref="O3:O30" si="3">N3*I3</f>
        <v>28545445.181888722</v>
      </c>
    </row>
    <row r="4" spans="1:15">
      <c r="A4" s="2">
        <v>3</v>
      </c>
      <c r="B4" s="2">
        <v>17000000</v>
      </c>
      <c r="C4" s="2">
        <v>2.02</v>
      </c>
      <c r="D4" s="2">
        <v>0.82</v>
      </c>
      <c r="E4" s="2">
        <v>1600</v>
      </c>
      <c r="F4" s="2">
        <f>IFERROR(B4*C4*IF(D4="", Parameters!$B$2, D4)/Parameters!$B$6, 0)</f>
        <v>905325.76719661779</v>
      </c>
      <c r="G4" s="13">
        <f>F4*IF(E4="", Parameters!$B$2, E4)</f>
        <v>1448521227.5145884</v>
      </c>
      <c r="H4" s="2">
        <f>G4*Parameters!$B$4</f>
        <v>37661551.915379293</v>
      </c>
      <c r="I4" s="2">
        <f>1/POWER(1+Parameters!$B$5, A4)</f>
        <v>0.75131480090157754</v>
      </c>
      <c r="J4" s="6">
        <f t="shared" si="0"/>
        <v>28295681.378947619</v>
      </c>
      <c r="K4" s="6">
        <f>SUM($G$2:G4)</f>
        <v>4345563682.5437651</v>
      </c>
      <c r="L4">
        <f t="shared" si="1"/>
        <v>860059.47883678682</v>
      </c>
      <c r="M4" s="14">
        <f>L4*IF(E4="",Parameters!$B$2,E4)</f>
        <v>1376095166.1388588</v>
      </c>
      <c r="N4" s="17">
        <f t="shared" si="2"/>
        <v>34539988.670085356</v>
      </c>
      <c r="O4" s="17">
        <f t="shared" si="3"/>
        <v>25950404.710807923</v>
      </c>
    </row>
    <row r="5" spans="1:15">
      <c r="A5" s="2">
        <v>4</v>
      </c>
      <c r="B5" s="2">
        <v>17000000</v>
      </c>
      <c r="C5" s="2">
        <v>2.02</v>
      </c>
      <c r="D5" s="2">
        <v>0.82</v>
      </c>
      <c r="E5" s="2">
        <v>1600</v>
      </c>
      <c r="F5" s="2">
        <f>IFERROR(B5*C5*IF(D5="", Parameters!$B$2, D5)/Parameters!$B$6, 0)</f>
        <v>905325.76719661779</v>
      </c>
      <c r="G5" s="13">
        <f>F5*IF(E5="", Parameters!$B$2, E5)</f>
        <v>1448521227.5145884</v>
      </c>
      <c r="H5" s="2">
        <f>G5*Parameters!$B$4</f>
        <v>37661551.915379293</v>
      </c>
      <c r="I5" s="2">
        <f>1/POWER(1+Parameters!$B$5, A5)</f>
        <v>0.68301345536507052</v>
      </c>
      <c r="J5" s="6">
        <f t="shared" si="0"/>
        <v>25723346.7081342</v>
      </c>
      <c r="K5" s="6">
        <f>SUM($G$2:G5)</f>
        <v>5794084910.0583534</v>
      </c>
      <c r="L5">
        <f t="shared" si="1"/>
        <v>860059.47883678682</v>
      </c>
      <c r="M5" s="14">
        <f>L5*IF(E5="",Parameters!$B$2,E5)</f>
        <v>1376095166.1388588</v>
      </c>
      <c r="N5" s="17">
        <f t="shared" si="2"/>
        <v>34539988.670085356</v>
      </c>
      <c r="O5" s="17">
        <f t="shared" si="3"/>
        <v>23591277.009825386</v>
      </c>
    </row>
    <row r="6" spans="1:15">
      <c r="A6" s="2">
        <v>5</v>
      </c>
      <c r="B6" s="2">
        <v>17000000</v>
      </c>
      <c r="C6" s="2">
        <v>2.02</v>
      </c>
      <c r="D6" s="2">
        <v>0.82</v>
      </c>
      <c r="E6" s="2">
        <v>1600</v>
      </c>
      <c r="F6" s="2">
        <f>IFERROR(B6*C6*IF(D6="", Parameters!$B$2, D6)/Parameters!$B$6, 0)</f>
        <v>905325.76719661779</v>
      </c>
      <c r="G6" s="13">
        <f>F6*IF(E6="", Parameters!$B$2, E6)</f>
        <v>1448521227.5145884</v>
      </c>
      <c r="H6" s="2">
        <f>G6*Parameters!$B$4</f>
        <v>37661551.915379293</v>
      </c>
      <c r="I6" s="2">
        <f>1/POWER(1+Parameters!$B$5, A6)</f>
        <v>0.62092132305915493</v>
      </c>
      <c r="J6" s="6">
        <f t="shared" si="0"/>
        <v>23384860.64375836</v>
      </c>
      <c r="K6" s="6">
        <f>SUM($G$2:G6)</f>
        <v>7242606137.5729418</v>
      </c>
      <c r="L6">
        <f t="shared" si="1"/>
        <v>860059.47883678682</v>
      </c>
      <c r="M6" s="14">
        <f>L6*IF(E6="",Parameters!$B$2,E6)</f>
        <v>1376095166.1388588</v>
      </c>
      <c r="N6" s="17">
        <f t="shared" si="2"/>
        <v>34539988.670085356</v>
      </c>
      <c r="O6" s="17">
        <f t="shared" si="3"/>
        <v>21446615.463477619</v>
      </c>
    </row>
    <row r="7" spans="1:15">
      <c r="A7" s="2">
        <v>6</v>
      </c>
      <c r="B7" s="2">
        <v>17000000</v>
      </c>
      <c r="C7" s="2">
        <v>2.02</v>
      </c>
      <c r="D7" s="2">
        <v>0.82</v>
      </c>
      <c r="E7" s="2">
        <v>1600</v>
      </c>
      <c r="F7" s="2">
        <f>IFERROR(B7*C7*IF(D7="", Parameters!$B$2, D7)/Parameters!$B$6, 0)</f>
        <v>905325.76719661779</v>
      </c>
      <c r="G7" s="13">
        <f>F7*IF(E7="", Parameters!$B$2, E7)</f>
        <v>1448521227.5145884</v>
      </c>
      <c r="H7" s="2">
        <f>G7*Parameters!$B$4</f>
        <v>37661551.915379293</v>
      </c>
      <c r="I7" s="2">
        <f>1/POWER(1+Parameters!$B$5, A7)</f>
        <v>0.56447393005377722</v>
      </c>
      <c r="J7" s="6">
        <f t="shared" si="0"/>
        <v>21258964.22159851</v>
      </c>
      <c r="K7" s="6">
        <f>SUM($G$2:G7)</f>
        <v>8691127365.0875301</v>
      </c>
      <c r="L7">
        <f t="shared" si="1"/>
        <v>860059.47883678682</v>
      </c>
      <c r="M7" s="14">
        <f>L7*IF(E7="",Parameters!$B$2,E7)</f>
        <v>1376095166.1388588</v>
      </c>
      <c r="N7" s="17">
        <f t="shared" si="2"/>
        <v>34539988.670085356</v>
      </c>
      <c r="O7" s="17">
        <f t="shared" si="3"/>
        <v>19496923.14861602</v>
      </c>
    </row>
    <row r="8" spans="1:15">
      <c r="A8" s="2">
        <v>7</v>
      </c>
      <c r="B8" s="2">
        <v>17000000</v>
      </c>
      <c r="C8" s="2">
        <v>2.02</v>
      </c>
      <c r="D8" s="2">
        <v>0.82</v>
      </c>
      <c r="E8" s="2">
        <v>1600</v>
      </c>
      <c r="F8" s="2">
        <f>IFERROR(B8*C8*IF(D8="", Parameters!$B$2, D8)/Parameters!$B$6, 0)</f>
        <v>905325.76719661779</v>
      </c>
      <c r="G8" s="13">
        <f>F8*IF(E8="", Parameters!$B$2, E8)</f>
        <v>1448521227.5145884</v>
      </c>
      <c r="H8" s="2">
        <f>G8*Parameters!$B$4</f>
        <v>37661551.915379293</v>
      </c>
      <c r="I8" s="2">
        <f>1/POWER(1+Parameters!$B$5, A8)</f>
        <v>0.51315811823070645</v>
      </c>
      <c r="J8" s="6">
        <f t="shared" si="0"/>
        <v>19326331.110544097</v>
      </c>
      <c r="K8" s="6">
        <f>SUM($G$2:G8)</f>
        <v>10139648592.602119</v>
      </c>
      <c r="L8">
        <f t="shared" si="1"/>
        <v>860059.47883678682</v>
      </c>
      <c r="M8" s="14">
        <f>L8*IF(E8="",Parameters!$B$2,E8)</f>
        <v>1376095166.1388588</v>
      </c>
      <c r="N8" s="17">
        <f t="shared" si="2"/>
        <v>34539988.670085356</v>
      </c>
      <c r="O8" s="17">
        <f t="shared" si="3"/>
        <v>17724475.589650922</v>
      </c>
    </row>
    <row r="9" spans="1:15">
      <c r="A9" s="2">
        <v>8</v>
      </c>
      <c r="B9" s="2">
        <v>17000000</v>
      </c>
      <c r="C9" s="2">
        <v>2.02</v>
      </c>
      <c r="D9" s="2">
        <v>0.82</v>
      </c>
      <c r="E9" s="2">
        <v>1600</v>
      </c>
      <c r="F9" s="2">
        <f>IFERROR(B9*C9*IF(D9="", Parameters!$B$2, D9)/Parameters!$B$6, 0)</f>
        <v>905325.76719661779</v>
      </c>
      <c r="G9" s="13">
        <f>F9*IF(E9="", Parameters!$B$2, E9)</f>
        <v>1448521227.5145884</v>
      </c>
      <c r="H9" s="2">
        <f>G9*Parameters!$B$4</f>
        <v>37661551.915379293</v>
      </c>
      <c r="I9" s="2">
        <f>1/POWER(1+Parameters!$B$5, A9)</f>
        <v>0.46650738020973315</v>
      </c>
      <c r="J9" s="6">
        <f t="shared" si="0"/>
        <v>17569391.918676451</v>
      </c>
      <c r="K9" s="6">
        <f>SUM($G$2:G9)</f>
        <v>11588169820.116707</v>
      </c>
      <c r="L9">
        <f t="shared" si="1"/>
        <v>860059.47883678682</v>
      </c>
      <c r="M9" s="14">
        <f>L9*IF(E9="",Parameters!$B$2,E9)</f>
        <v>1376095166.1388588</v>
      </c>
      <c r="N9" s="17">
        <f t="shared" si="2"/>
        <v>34539988.670085356</v>
      </c>
      <c r="O9" s="17">
        <f t="shared" si="3"/>
        <v>16113159.626955384</v>
      </c>
    </row>
    <row r="10" spans="1:15">
      <c r="A10" s="2">
        <v>9</v>
      </c>
      <c r="B10" s="2">
        <v>17000000</v>
      </c>
      <c r="C10" s="2">
        <v>2.02</v>
      </c>
      <c r="D10" s="2">
        <v>0.82</v>
      </c>
      <c r="E10" s="2">
        <v>1600</v>
      </c>
      <c r="F10" s="2">
        <f>IFERROR(B10*C10*IF(D10="", Parameters!$B$2, D10)/Parameters!$B$6, 0)</f>
        <v>905325.76719661779</v>
      </c>
      <c r="G10" s="13">
        <f>F10*IF(E10="", Parameters!$B$2, E10)</f>
        <v>1448521227.5145884</v>
      </c>
      <c r="H10" s="2">
        <f>G10*Parameters!$B$4</f>
        <v>37661551.915379293</v>
      </c>
      <c r="I10" s="2">
        <f>1/POWER(1+Parameters!$B$5, A10)</f>
        <v>0.42409761837248466</v>
      </c>
      <c r="J10" s="6">
        <f t="shared" si="0"/>
        <v>15972174.471524047</v>
      </c>
      <c r="K10" s="6">
        <f>SUM($G$2:G10)</f>
        <v>13036691047.631294</v>
      </c>
      <c r="L10">
        <f t="shared" si="1"/>
        <v>860059.47883678682</v>
      </c>
      <c r="M10" s="14">
        <f>L10*IF(E10="",Parameters!$B$2,E10)</f>
        <v>1376095166.1388588</v>
      </c>
      <c r="N10" s="17">
        <f t="shared" si="2"/>
        <v>34539988.670085356</v>
      </c>
      <c r="O10" s="17">
        <f t="shared" si="3"/>
        <v>14648326.933595803</v>
      </c>
    </row>
    <row r="11" spans="1:15">
      <c r="A11" s="2">
        <v>10</v>
      </c>
      <c r="B11" s="2">
        <v>17000000</v>
      </c>
      <c r="C11" s="2">
        <v>2.02</v>
      </c>
      <c r="D11" s="2">
        <v>0.82</v>
      </c>
      <c r="E11" s="2">
        <v>1600</v>
      </c>
      <c r="F11" s="2">
        <f>IFERROR(B11*C11*IF(D11="", Parameters!$B$2, D11)/Parameters!$B$6, 0)</f>
        <v>905325.76719661779</v>
      </c>
      <c r="G11" s="13">
        <f>F11*IF(E11="", Parameters!$B$2, E11)</f>
        <v>1448521227.5145884</v>
      </c>
      <c r="H11" s="2">
        <f>G11*Parameters!$B$4</f>
        <v>37661551.915379293</v>
      </c>
      <c r="I11" s="2">
        <f>1/POWER(1+Parameters!$B$5, A11)</f>
        <v>0.38554328942953148</v>
      </c>
      <c r="J11" s="6">
        <f t="shared" si="0"/>
        <v>14520158.610476404</v>
      </c>
      <c r="K11" s="6">
        <f>SUM($G$2:G11)</f>
        <v>14485212275.145882</v>
      </c>
      <c r="L11">
        <f t="shared" si="1"/>
        <v>860059.47883678682</v>
      </c>
      <c r="M11" s="14">
        <f>L11*IF(E11="",Parameters!$B$2,E11)</f>
        <v>1376095166.1388588</v>
      </c>
      <c r="N11" s="17">
        <f t="shared" si="2"/>
        <v>34539988.670085356</v>
      </c>
      <c r="O11" s="17">
        <f t="shared" si="3"/>
        <v>13316660.848723456</v>
      </c>
    </row>
    <row r="12" spans="1:15">
      <c r="A12" s="2">
        <v>11</v>
      </c>
      <c r="B12" s="2">
        <v>17000000</v>
      </c>
      <c r="C12" s="2">
        <v>2.02</v>
      </c>
      <c r="D12" s="2">
        <v>0.82</v>
      </c>
      <c r="E12" s="2">
        <v>1600</v>
      </c>
      <c r="F12" s="2">
        <f>IFERROR(B12*C12*IF(D12="", Parameters!$B$2, D12)/Parameters!$B$6, 0)</f>
        <v>905325.76719661779</v>
      </c>
      <c r="G12" s="13">
        <f>F12*IF(E12="", Parameters!$B$2, E12)</f>
        <v>1448521227.5145884</v>
      </c>
      <c r="H12" s="2">
        <f>G12*Parameters!$B$4</f>
        <v>37661551.915379293</v>
      </c>
      <c r="I12" s="2">
        <f>1/POWER(1+Parameters!$B$5, A12)</f>
        <v>0.3504938994813922</v>
      </c>
      <c r="J12" s="6">
        <f t="shared" si="0"/>
        <v>13200144.191342184</v>
      </c>
      <c r="K12" s="6">
        <f>SUM($G$2:G12)</f>
        <v>15933733502.660469</v>
      </c>
      <c r="L12">
        <f t="shared" si="1"/>
        <v>860059.47883678682</v>
      </c>
      <c r="M12" s="14">
        <f>L12*IF(E12="",Parameters!$B$2,E12)</f>
        <v>1376095166.1388588</v>
      </c>
      <c r="N12" s="17">
        <f t="shared" si="2"/>
        <v>34539988.670085356</v>
      </c>
      <c r="O12" s="17">
        <f t="shared" si="3"/>
        <v>12106055.317021322</v>
      </c>
    </row>
    <row r="13" spans="1:15">
      <c r="A13" s="2">
        <v>12</v>
      </c>
      <c r="B13" s="2">
        <v>17000000</v>
      </c>
      <c r="C13" s="2">
        <v>2.02</v>
      </c>
      <c r="D13" s="2">
        <v>0.82</v>
      </c>
      <c r="E13" s="2">
        <v>1600</v>
      </c>
      <c r="F13" s="2">
        <f>IFERROR(B13*C13*IF(D13="", Parameters!$B$2, D13)/Parameters!$B$6, 0)</f>
        <v>905325.76719661779</v>
      </c>
      <c r="G13" s="13">
        <f>F13*IF(E13="", Parameters!$B$2, E13)</f>
        <v>1448521227.5145884</v>
      </c>
      <c r="H13" s="2">
        <f>G13*Parameters!$B$4</f>
        <v>37661551.915379293</v>
      </c>
      <c r="I13" s="2">
        <f>1/POWER(1+Parameters!$B$5, A13)</f>
        <v>0.31863081771035656</v>
      </c>
      <c r="J13" s="6">
        <f t="shared" si="0"/>
        <v>12000131.083038349</v>
      </c>
      <c r="K13" s="6">
        <f>SUM($G$2:G13)</f>
        <v>17382254730.175056</v>
      </c>
      <c r="L13">
        <f t="shared" si="1"/>
        <v>860059.47883678682</v>
      </c>
      <c r="M13" s="14">
        <f>L13*IF(E13="",Parameters!$B$2,E13)</f>
        <v>1376095166.1388588</v>
      </c>
      <c r="N13" s="17">
        <f t="shared" si="2"/>
        <v>34539988.670085356</v>
      </c>
      <c r="O13" s="17">
        <f t="shared" si="3"/>
        <v>11005504.833655749</v>
      </c>
    </row>
    <row r="14" spans="1:15">
      <c r="A14" s="2">
        <v>13</v>
      </c>
      <c r="B14" s="2">
        <v>17000000</v>
      </c>
      <c r="C14" s="2">
        <v>2.02</v>
      </c>
      <c r="D14" s="2">
        <v>0.82</v>
      </c>
      <c r="E14" s="2">
        <v>1600</v>
      </c>
      <c r="F14" s="2">
        <f>IFERROR(B14*C14*IF(D14="", Parameters!$B$2, D14)/Parameters!$B$6, 0)</f>
        <v>905325.76719661779</v>
      </c>
      <c r="G14" s="13">
        <f>F14*IF(E14="", Parameters!$B$2, E14)</f>
        <v>1448521227.5145884</v>
      </c>
      <c r="H14" s="2">
        <f>G14*Parameters!$B$4</f>
        <v>37661551.915379293</v>
      </c>
      <c r="I14" s="2">
        <f>1/POWER(1+Parameters!$B$5, A14)</f>
        <v>0.28966437973668779</v>
      </c>
      <c r="J14" s="6">
        <f t="shared" si="0"/>
        <v>10909210.075489409</v>
      </c>
      <c r="K14" s="6">
        <f>SUM($G$2:G14)</f>
        <v>18830775957.689644</v>
      </c>
      <c r="L14">
        <f t="shared" si="1"/>
        <v>860059.47883678682</v>
      </c>
      <c r="M14" s="14">
        <f>L14*IF(E14="",Parameters!$B$2,E14)</f>
        <v>1376095166.1388588</v>
      </c>
      <c r="N14" s="17">
        <f t="shared" si="2"/>
        <v>34539988.670085356</v>
      </c>
      <c r="O14" s="17">
        <f t="shared" si="3"/>
        <v>10005004.394232498</v>
      </c>
    </row>
    <row r="15" spans="1:15">
      <c r="A15" s="2">
        <v>14</v>
      </c>
      <c r="B15" s="2">
        <v>17000000</v>
      </c>
      <c r="C15" s="2">
        <v>2.02</v>
      </c>
      <c r="D15" s="2">
        <v>0.82</v>
      </c>
      <c r="E15" s="2">
        <v>1600</v>
      </c>
      <c r="F15" s="2">
        <f>IFERROR(B15*C15*IF(D15="", Parameters!$B$2, D15)/Parameters!$B$6, 0)</f>
        <v>905325.76719661779</v>
      </c>
      <c r="G15" s="13">
        <f>F15*IF(E15="", Parameters!$B$2, E15)</f>
        <v>1448521227.5145884</v>
      </c>
      <c r="H15" s="2">
        <f>G15*Parameters!$B$4</f>
        <v>37661551.915379293</v>
      </c>
      <c r="I15" s="2">
        <f>1/POWER(1+Parameters!$B$5, A15)</f>
        <v>0.26333125430607973</v>
      </c>
      <c r="J15" s="6">
        <f t="shared" si="0"/>
        <v>9917463.7049903683</v>
      </c>
      <c r="K15" s="6">
        <f>SUM($G$2:G15)</f>
        <v>20279297185.204231</v>
      </c>
      <c r="L15">
        <f t="shared" si="1"/>
        <v>860059.47883678682</v>
      </c>
      <c r="M15" s="14">
        <f>L15*IF(E15="",Parameters!$B$2,E15)</f>
        <v>1376095166.1388588</v>
      </c>
      <c r="N15" s="17">
        <f t="shared" si="2"/>
        <v>34539988.670085356</v>
      </c>
      <c r="O15" s="17">
        <f t="shared" si="3"/>
        <v>9095458.540211359</v>
      </c>
    </row>
    <row r="16" spans="1:15">
      <c r="A16" s="2">
        <v>15</v>
      </c>
      <c r="B16" s="2">
        <v>17000000</v>
      </c>
      <c r="C16" s="2">
        <v>2.02</v>
      </c>
      <c r="D16" s="2">
        <v>0.82</v>
      </c>
      <c r="E16" s="2">
        <v>1600</v>
      </c>
      <c r="F16" s="2">
        <f>IFERROR(B16*C16*IF(D16="", Parameters!$B$2, D16)/Parameters!$B$6, 0)</f>
        <v>905325.76719661779</v>
      </c>
      <c r="G16" s="13">
        <f>F16*IF(E16="", Parameters!$B$2, E16)</f>
        <v>1448521227.5145884</v>
      </c>
      <c r="H16" s="2">
        <f>G16*Parameters!$B$4</f>
        <v>37661551.915379293</v>
      </c>
      <c r="I16" s="2">
        <f>1/POWER(1+Parameters!$B$5, A16)</f>
        <v>0.23939204936916339</v>
      </c>
      <c r="J16" s="6">
        <f t="shared" si="0"/>
        <v>9015876.0954457894</v>
      </c>
      <c r="K16" s="6">
        <f>SUM($G$2:G16)</f>
        <v>21727818412.718819</v>
      </c>
      <c r="L16">
        <f t="shared" si="1"/>
        <v>860059.47883678682</v>
      </c>
      <c r="M16" s="14">
        <f>L16*IF(E16="",Parameters!$B$2,E16)</f>
        <v>1376095166.1388588</v>
      </c>
      <c r="N16" s="17">
        <f t="shared" si="2"/>
        <v>34539988.670085356</v>
      </c>
      <c r="O16" s="17">
        <f t="shared" si="3"/>
        <v>8268598.6729194177</v>
      </c>
    </row>
    <row r="17" spans="1:15">
      <c r="A17" s="2">
        <v>16</v>
      </c>
      <c r="B17" s="2">
        <v>17000000</v>
      </c>
      <c r="C17" s="2">
        <v>2.02</v>
      </c>
      <c r="D17" s="2">
        <v>0.82</v>
      </c>
      <c r="E17" s="2">
        <v>1600</v>
      </c>
      <c r="F17" s="2">
        <f>IFERROR(B17*C17*IF(D17="", Parameters!$B$2, D17)/Parameters!$B$6, 0)</f>
        <v>905325.76719661779</v>
      </c>
      <c r="G17" s="13">
        <f>F17*IF(E17="", Parameters!$B$2, E17)</f>
        <v>1448521227.5145884</v>
      </c>
      <c r="H17" s="2">
        <f>G17*Parameters!$B$4</f>
        <v>37661551.915379293</v>
      </c>
      <c r="I17" s="2">
        <f>1/POWER(1+Parameters!$B$5, A17)</f>
        <v>0.21762913579014853</v>
      </c>
      <c r="J17" s="6">
        <f t="shared" si="0"/>
        <v>8196250.9958598083</v>
      </c>
      <c r="K17" s="6">
        <f>SUM($G$2:G17)</f>
        <v>23176339640.233406</v>
      </c>
      <c r="L17">
        <f t="shared" si="1"/>
        <v>860059.47883678682</v>
      </c>
      <c r="M17" s="14">
        <f>L17*IF(E17="",Parameters!$B$2,E17)</f>
        <v>1376095166.1388588</v>
      </c>
      <c r="N17" s="17">
        <f t="shared" si="2"/>
        <v>34539988.670085356</v>
      </c>
      <c r="O17" s="17">
        <f t="shared" si="3"/>
        <v>7516907.8844721979</v>
      </c>
    </row>
    <row r="18" spans="1:15">
      <c r="A18" s="2">
        <v>17</v>
      </c>
      <c r="B18" s="2">
        <v>17000000</v>
      </c>
      <c r="C18" s="2">
        <v>2.02</v>
      </c>
      <c r="D18" s="2">
        <v>0.82</v>
      </c>
      <c r="E18" s="2">
        <v>1600</v>
      </c>
      <c r="F18" s="2">
        <f>IFERROR(B18*C18*IF(D18="", Parameters!$B$2, D18)/Parameters!$B$6, 0)</f>
        <v>905325.76719661779</v>
      </c>
      <c r="G18" s="13">
        <f>F18*IF(E18="", Parameters!$B$2, E18)</f>
        <v>1448521227.5145884</v>
      </c>
      <c r="H18" s="2">
        <f>G18*Parameters!$B$4</f>
        <v>37661551.915379293</v>
      </c>
      <c r="I18" s="2">
        <f>1/POWER(1+Parameters!$B$5, A18)</f>
        <v>0.19784466890013502</v>
      </c>
      <c r="J18" s="6">
        <f t="shared" si="0"/>
        <v>7451137.2689634627</v>
      </c>
      <c r="K18" s="6">
        <f>SUM($G$2:G18)</f>
        <v>24624860867.747993</v>
      </c>
      <c r="L18">
        <f t="shared" si="1"/>
        <v>860059.47883678682</v>
      </c>
      <c r="M18" s="14">
        <f>L18*IF(E18="",Parameters!$B$2,E18)</f>
        <v>1376095166.1388588</v>
      </c>
      <c r="N18" s="17">
        <f t="shared" si="2"/>
        <v>34539988.670085356</v>
      </c>
      <c r="O18" s="17">
        <f t="shared" si="3"/>
        <v>6833552.6222474519</v>
      </c>
    </row>
    <row r="19" spans="1:15">
      <c r="A19" s="2">
        <v>18</v>
      </c>
      <c r="B19" s="2">
        <v>17000000</v>
      </c>
      <c r="C19" s="2">
        <v>2.02</v>
      </c>
      <c r="D19" s="2">
        <v>0.82</v>
      </c>
      <c r="E19" s="2">
        <v>1600</v>
      </c>
      <c r="F19" s="2">
        <f>IFERROR(B19*C19*IF(D19="", Parameters!$B$2, D19)/Parameters!$B$6, 0)</f>
        <v>905325.76719661779</v>
      </c>
      <c r="G19" s="13">
        <f>F19*IF(E19="", Parameters!$B$2, E19)</f>
        <v>1448521227.5145884</v>
      </c>
      <c r="H19" s="2">
        <f>G19*Parameters!$B$4</f>
        <v>37661551.915379293</v>
      </c>
      <c r="I19" s="2">
        <f>1/POWER(1+Parameters!$B$5, A19)</f>
        <v>0.17985878990921364</v>
      </c>
      <c r="J19" s="6">
        <f t="shared" si="0"/>
        <v>6773761.1536031468</v>
      </c>
      <c r="K19" s="6">
        <f>SUM($G$2:G19)</f>
        <v>26073382095.262581</v>
      </c>
      <c r="L19">
        <f t="shared" si="1"/>
        <v>860059.47883678682</v>
      </c>
      <c r="M19" s="14">
        <f>L19*IF(E19="",Parameters!$B$2,E19)</f>
        <v>1376095166.1388588</v>
      </c>
      <c r="N19" s="17">
        <f t="shared" si="2"/>
        <v>34539988.670085356</v>
      </c>
      <c r="O19" s="17">
        <f t="shared" si="3"/>
        <v>6212320.5656795017</v>
      </c>
    </row>
    <row r="20" spans="1:15">
      <c r="A20" s="2">
        <v>19</v>
      </c>
      <c r="B20" s="2">
        <v>17000000</v>
      </c>
      <c r="C20" s="2">
        <v>2.02</v>
      </c>
      <c r="D20" s="2">
        <v>0.82</v>
      </c>
      <c r="E20" s="2">
        <v>1600</v>
      </c>
      <c r="F20" s="2">
        <f>IFERROR(B20*C20*IF(D20="", Parameters!$B$2, D20)/Parameters!$B$6, 0)</f>
        <v>905325.76719661779</v>
      </c>
      <c r="G20" s="13">
        <f>F20*IF(E20="", Parameters!$B$2, E20)</f>
        <v>1448521227.5145884</v>
      </c>
      <c r="H20" s="2">
        <f>G20*Parameters!$B$4</f>
        <v>37661551.915379293</v>
      </c>
      <c r="I20" s="2">
        <f>1/POWER(1+Parameters!$B$5, A20)</f>
        <v>0.16350799082655781</v>
      </c>
      <c r="J20" s="6">
        <f t="shared" si="0"/>
        <v>6157964.6850937679</v>
      </c>
      <c r="K20" s="6">
        <f>SUM($G$2:G20)</f>
        <v>27521903322.777168</v>
      </c>
      <c r="L20">
        <f t="shared" si="1"/>
        <v>860059.47883678682</v>
      </c>
      <c r="M20" s="14">
        <f>L20*IF(E20="",Parameters!$B$2,E20)</f>
        <v>1376095166.1388588</v>
      </c>
      <c r="N20" s="17">
        <f t="shared" si="2"/>
        <v>34539988.670085356</v>
      </c>
      <c r="O20" s="17">
        <f t="shared" si="3"/>
        <v>5647564.1506177271</v>
      </c>
    </row>
    <row r="21" spans="1:15">
      <c r="A21" s="2">
        <v>20</v>
      </c>
      <c r="B21" s="2">
        <v>17000000</v>
      </c>
      <c r="C21" s="2">
        <v>2.02</v>
      </c>
      <c r="D21" s="2">
        <v>0.82</v>
      </c>
      <c r="E21" s="2">
        <v>1600</v>
      </c>
      <c r="F21" s="2">
        <f>IFERROR(B21*C21*IF(D21="", Parameters!$B$2, D21)/Parameters!$B$6, 0)</f>
        <v>905325.76719661779</v>
      </c>
      <c r="G21" s="13">
        <f>F21*IF(E21="", Parameters!$B$2, E21)</f>
        <v>1448521227.5145884</v>
      </c>
      <c r="H21" s="2">
        <f>G21*Parameters!$B$4</f>
        <v>37661551.915379293</v>
      </c>
      <c r="I21" s="2">
        <f>1/POWER(1+Parameters!$B$5, A21)</f>
        <v>0.14864362802414349</v>
      </c>
      <c r="J21" s="6">
        <f t="shared" si="0"/>
        <v>5598149.7137216087</v>
      </c>
      <c r="K21" s="6">
        <f>SUM($G$2:G21)</f>
        <v>28970424550.291756</v>
      </c>
      <c r="L21">
        <f t="shared" si="1"/>
        <v>860059.47883678682</v>
      </c>
      <c r="M21" s="14">
        <f>L21*IF(E21="",Parameters!$B$2,E21)</f>
        <v>1376095166.1388588</v>
      </c>
      <c r="N21" s="17">
        <f t="shared" si="2"/>
        <v>34539988.670085356</v>
      </c>
      <c r="O21" s="17">
        <f t="shared" si="3"/>
        <v>5134149.2278342983</v>
      </c>
    </row>
    <row r="22" spans="1:15">
      <c r="A22" s="2">
        <v>21</v>
      </c>
      <c r="B22" s="2">
        <v>17000000</v>
      </c>
      <c r="C22" s="2">
        <v>2.02</v>
      </c>
      <c r="D22" s="2">
        <v>0.82</v>
      </c>
      <c r="E22" s="2">
        <v>1600</v>
      </c>
      <c r="F22" s="2">
        <f>IFERROR(B22*C22*IF(D22="", Parameters!$B$2, D22)/Parameters!$B$6, 0)</f>
        <v>905325.76719661779</v>
      </c>
      <c r="G22" s="13">
        <f>F22*IF(E22="", Parameters!$B$2, E22)</f>
        <v>1448521227.5145884</v>
      </c>
      <c r="H22" s="2">
        <f>G22*Parameters!$B$4</f>
        <v>37661551.915379293</v>
      </c>
      <c r="I22" s="2">
        <f>1/POWER(1+Parameters!$B$5, A22)</f>
        <v>0.13513057093103953</v>
      </c>
      <c r="J22" s="6">
        <f t="shared" si="0"/>
        <v>5089227.0124741895</v>
      </c>
      <c r="K22" s="6">
        <f>SUM($G$2:G22)</f>
        <v>30418945777.806343</v>
      </c>
      <c r="L22">
        <f t="shared" si="1"/>
        <v>860059.47883678682</v>
      </c>
      <c r="M22" s="14">
        <f>L22*IF(E22="",Parameters!$B$2,E22)</f>
        <v>1376095166.1388588</v>
      </c>
      <c r="N22" s="17">
        <f t="shared" si="2"/>
        <v>34539988.670085356</v>
      </c>
      <c r="O22" s="17">
        <f t="shared" si="3"/>
        <v>4667408.388940271</v>
      </c>
    </row>
    <row r="23" spans="1:15">
      <c r="A23" s="2">
        <v>22</v>
      </c>
      <c r="B23" s="2">
        <v>17000000</v>
      </c>
      <c r="C23" s="2">
        <v>2.02</v>
      </c>
      <c r="D23" s="2">
        <v>0.82</v>
      </c>
      <c r="E23" s="2">
        <v>1600</v>
      </c>
      <c r="F23" s="2">
        <f>IFERROR(B23*C23*IF(D23="", Parameters!$B$2, D23)/Parameters!$B$6, 0)</f>
        <v>905325.76719661779</v>
      </c>
      <c r="G23" s="13">
        <f>F23*IF(E23="", Parameters!$B$2, E23)</f>
        <v>1448521227.5145884</v>
      </c>
      <c r="H23" s="2">
        <f>G23*Parameters!$B$4</f>
        <v>37661551.915379293</v>
      </c>
      <c r="I23" s="2">
        <f>1/POWER(1+Parameters!$B$5, A23)</f>
        <v>0.12284597357367227</v>
      </c>
      <c r="J23" s="6">
        <f t="shared" si="0"/>
        <v>4626570.0113401711</v>
      </c>
      <c r="K23" s="6">
        <f>SUM($G$2:G23)</f>
        <v>31867467005.32093</v>
      </c>
      <c r="L23">
        <f t="shared" si="1"/>
        <v>860059.47883678682</v>
      </c>
      <c r="M23" s="14">
        <f>L23*IF(E23="",Parameters!$B$2,E23)</f>
        <v>1376095166.1388588</v>
      </c>
      <c r="N23" s="17">
        <f t="shared" si="2"/>
        <v>34539988.670085356</v>
      </c>
      <c r="O23" s="17">
        <f t="shared" si="3"/>
        <v>4243098.5354002453</v>
      </c>
    </row>
    <row r="24" spans="1:15">
      <c r="A24" s="2">
        <v>23</v>
      </c>
      <c r="B24" s="2">
        <v>17000000</v>
      </c>
      <c r="C24" s="2">
        <v>2.02</v>
      </c>
      <c r="D24" s="2">
        <v>0.82</v>
      </c>
      <c r="E24" s="2">
        <v>1600</v>
      </c>
      <c r="F24" s="2">
        <f>IFERROR(B24*C24*IF(D24="", Parameters!$B$2, D24)/Parameters!$B$6, 0)</f>
        <v>905325.76719661779</v>
      </c>
      <c r="G24" s="13">
        <f>F24*IF(E24="", Parameters!$B$2, E24)</f>
        <v>1448521227.5145884</v>
      </c>
      <c r="H24" s="2">
        <f>G24*Parameters!$B$4</f>
        <v>37661551.915379293</v>
      </c>
      <c r="I24" s="2">
        <f>1/POWER(1+Parameters!$B$5, A24)</f>
        <v>0.11167815779424752</v>
      </c>
      <c r="J24" s="6">
        <f t="shared" si="0"/>
        <v>4205972.7375819739</v>
      </c>
      <c r="K24" s="6">
        <f>SUM($G$2:G24)</f>
        <v>33315988232.835518</v>
      </c>
      <c r="L24">
        <f t="shared" si="1"/>
        <v>860059.47883678682</v>
      </c>
      <c r="M24" s="14">
        <f>L24*IF(E24="",Parameters!$B$2,E24)</f>
        <v>1376095166.1388588</v>
      </c>
      <c r="N24" s="17">
        <f t="shared" si="2"/>
        <v>34539988.670085356</v>
      </c>
      <c r="O24" s="17">
        <f t="shared" si="3"/>
        <v>3857362.3049093136</v>
      </c>
    </row>
    <row r="25" spans="1:15">
      <c r="A25" s="2">
        <v>24</v>
      </c>
      <c r="B25" s="2">
        <v>17000000</v>
      </c>
      <c r="C25" s="2">
        <v>2.02</v>
      </c>
      <c r="D25" s="2">
        <v>0.82</v>
      </c>
      <c r="E25" s="2">
        <v>1600</v>
      </c>
      <c r="F25" s="2">
        <f>IFERROR(B25*C25*IF(D25="", Parameters!$B$2, D25)/Parameters!$B$6, 0)</f>
        <v>905325.76719661779</v>
      </c>
      <c r="G25" s="13">
        <f>F25*IF(E25="", Parameters!$B$2, E25)</f>
        <v>1448521227.5145884</v>
      </c>
      <c r="H25" s="2">
        <f>G25*Parameters!$B$4</f>
        <v>37661551.915379293</v>
      </c>
      <c r="I25" s="2">
        <f>1/POWER(1+Parameters!$B$5, A25)</f>
        <v>0.10152559799477048</v>
      </c>
      <c r="J25" s="6">
        <f t="shared" si="0"/>
        <v>3823611.5796199762</v>
      </c>
      <c r="K25" s="6">
        <f>SUM($G$2:G25)</f>
        <v>34764509460.350105</v>
      </c>
      <c r="L25">
        <f t="shared" si="1"/>
        <v>860059.47883678682</v>
      </c>
      <c r="M25" s="14">
        <f>L25*IF(E25="",Parameters!$B$2,E25)</f>
        <v>1376095166.1388588</v>
      </c>
      <c r="N25" s="17">
        <f t="shared" si="2"/>
        <v>34539988.670085356</v>
      </c>
      <c r="O25" s="17">
        <f t="shared" si="3"/>
        <v>3506693.0044630128</v>
      </c>
    </row>
    <row r="26" spans="1:15">
      <c r="A26" s="2">
        <v>25</v>
      </c>
      <c r="B26" s="2">
        <v>17000000</v>
      </c>
      <c r="C26" s="2">
        <v>2.02</v>
      </c>
      <c r="D26" s="2">
        <v>0.82</v>
      </c>
      <c r="E26" s="2">
        <v>1600</v>
      </c>
      <c r="F26" s="2">
        <f>IFERROR(B26*C26*IF(D26="", Parameters!$B$2, D26)/Parameters!$B$6, 0)</f>
        <v>905325.76719661779</v>
      </c>
      <c r="G26" s="13">
        <f>F26*IF(E26="", Parameters!$B$2, E26)</f>
        <v>1448521227.5145884</v>
      </c>
      <c r="H26" s="2">
        <f>G26*Parameters!$B$4</f>
        <v>37661551.915379293</v>
      </c>
      <c r="I26" s="2">
        <f>1/POWER(1+Parameters!$B$5, A26)</f>
        <v>9.2295998177064048E-2</v>
      </c>
      <c r="J26" s="6">
        <f t="shared" si="0"/>
        <v>3476010.5269272504</v>
      </c>
      <c r="K26" s="6">
        <f>SUM($G$2:G26)</f>
        <v>36213030687.864693</v>
      </c>
      <c r="L26">
        <f t="shared" si="1"/>
        <v>860059.47883678682</v>
      </c>
      <c r="M26" s="14">
        <f>L26*IF(E26="",Parameters!$B$2,E26)</f>
        <v>1376095166.1388588</v>
      </c>
      <c r="N26" s="17">
        <f t="shared" si="2"/>
        <v>34539988.670085356</v>
      </c>
      <c r="O26" s="17">
        <f t="shared" si="3"/>
        <v>3187902.731330011</v>
      </c>
    </row>
    <row r="27" spans="1:15">
      <c r="A27" s="2"/>
      <c r="B27" s="2"/>
      <c r="C27" s="2"/>
      <c r="D27" s="2"/>
      <c r="E27" s="2"/>
      <c r="F27" s="2"/>
      <c r="G27" s="13"/>
      <c r="H27" s="2"/>
      <c r="I27" s="2"/>
      <c r="J27" s="6"/>
      <c r="K27" s="6"/>
      <c r="M27" s="14"/>
      <c r="N27" s="17"/>
      <c r="O27" s="17"/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36213030687.864693</v>
      </c>
      <c r="H39">
        <f>SUM(H2:H33)</f>
        <v>941538797.88448226</v>
      </c>
      <c r="J39" s="11">
        <f>SUM(J2:J26)</f>
        <v>341855413.88452017</v>
      </c>
      <c r="O39" s="11">
        <f>SUM(O2:O26)</f>
        <v>313520859.38755322</v>
      </c>
    </row>
    <row r="40" spans="1:15">
      <c r="F40" s="3" t="s">
        <v>16</v>
      </c>
      <c r="G40" s="10">
        <f>G39</f>
        <v>36213030687.864693</v>
      </c>
    </row>
    <row r="41" spans="1:15">
      <c r="F41" s="3" t="s">
        <v>17</v>
      </c>
      <c r="G41" s="10">
        <f>H39</f>
        <v>941538797.88448226</v>
      </c>
    </row>
    <row r="42" spans="1:15">
      <c r="F42" s="3" t="s">
        <v>9</v>
      </c>
      <c r="G42" s="10">
        <f>J39</f>
        <v>341855413.88452017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458E-FC81-428E-949D-8A27C857BDD3}">
  <sheetPr codeName="Sheet8"/>
  <dimension ref="A1:O42"/>
  <sheetViews>
    <sheetView topLeftCell="A13" workbookViewId="0">
      <pane xSplit="1" topLeftCell="D1" activePane="topRight" state="frozen"/>
      <selection pane="topRight" activeCell="M33" sqref="M33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18000000</v>
      </c>
      <c r="C2" s="2">
        <v>1.9950000000000001</v>
      </c>
      <c r="D2" s="2">
        <v>0.82</v>
      </c>
      <c r="E2" s="2">
        <v>1600</v>
      </c>
      <c r="F2" s="2">
        <f>IFERROR(B2*C2*IF(D2="", Parameters!$B$2, D2)/Parameters!$B$6, 0)</f>
        <v>946716.60745575256</v>
      </c>
      <c r="G2" s="13">
        <f>F2*IF(E2="", Parameters!$B$2, E2)</f>
        <v>1514746571.929204</v>
      </c>
      <c r="H2" s="2">
        <f>G2*Parameters!$B$4</f>
        <v>39383410.870159298</v>
      </c>
      <c r="I2" s="2">
        <f>1/POWER(1+Parameters!$B$5, A2)</f>
        <v>0.90909090909090906</v>
      </c>
      <c r="J2" s="6">
        <f t="shared" ref="J2:J33" si="0">H2*I2</f>
        <v>35803100.791053906</v>
      </c>
      <c r="K2" s="6">
        <f>SUM($G$2:G2)</f>
        <v>1514746571.929204</v>
      </c>
      <c r="L2">
        <f>F2*0.95</f>
        <v>899380.77708296489</v>
      </c>
      <c r="M2" s="14">
        <f>L2*IF(E2="",Parameters!$B$2,E2)</f>
        <v>1439009243.3327439</v>
      </c>
      <c r="N2" s="17">
        <f>M2*0.0251</f>
        <v>36119132.007651873</v>
      </c>
      <c r="O2" s="17">
        <f>N2*I2</f>
        <v>32835574.552410793</v>
      </c>
    </row>
    <row r="3" spans="1:15">
      <c r="A3" s="2">
        <v>2</v>
      </c>
      <c r="B3" s="2">
        <v>18000000</v>
      </c>
      <c r="C3" s="2">
        <v>1.9950000000000001</v>
      </c>
      <c r="D3" s="2">
        <v>0.82</v>
      </c>
      <c r="E3" s="2">
        <v>1600</v>
      </c>
      <c r="F3" s="2">
        <f>IFERROR(B3*C3*IF(D3="", Parameters!$B$2, D3)/Parameters!$B$6, 0)</f>
        <v>946716.60745575256</v>
      </c>
      <c r="G3" s="13">
        <f>F3*IF(E3="", Parameters!$B$2, E3)</f>
        <v>1514746571.929204</v>
      </c>
      <c r="H3" s="2">
        <f>G3*Parameters!$B$4</f>
        <v>39383410.870159298</v>
      </c>
      <c r="I3" s="2">
        <f>1/POWER(1+Parameters!$B$5, A3)</f>
        <v>0.82644628099173545</v>
      </c>
      <c r="J3" s="6">
        <f t="shared" si="0"/>
        <v>32548273.446412638</v>
      </c>
      <c r="K3" s="6">
        <f>SUM($G$2:G3)</f>
        <v>3029493143.858408</v>
      </c>
      <c r="L3">
        <f t="shared" ref="L3:L33" si="1">F3*0.95</f>
        <v>899380.77708296489</v>
      </c>
      <c r="M3" s="14">
        <f>L3*IF(E3="",Parameters!$B$2,E3)</f>
        <v>1439009243.3327439</v>
      </c>
      <c r="N3" s="17">
        <f t="shared" ref="N3:N28" si="2">M3*0.0251</f>
        <v>36119132.007651873</v>
      </c>
      <c r="O3" s="17">
        <f t="shared" ref="O3:O26" si="3">N3*I3</f>
        <v>29850522.320373446</v>
      </c>
    </row>
    <row r="4" spans="1:15">
      <c r="A4" s="2">
        <v>3</v>
      </c>
      <c r="B4" s="2">
        <v>18000000</v>
      </c>
      <c r="C4" s="2">
        <v>1.9950000000000001</v>
      </c>
      <c r="D4" s="2">
        <v>0.82</v>
      </c>
      <c r="E4" s="2">
        <v>1600</v>
      </c>
      <c r="F4" s="2">
        <f>IFERROR(B4*C4*IF(D4="", Parameters!$B$2, D4)/Parameters!$B$6, 0)</f>
        <v>946716.60745575256</v>
      </c>
      <c r="G4" s="13">
        <f>F4*IF(E4="", Parameters!$B$2, E4)</f>
        <v>1514746571.929204</v>
      </c>
      <c r="H4" s="2">
        <f>G4*Parameters!$B$4</f>
        <v>39383410.870159298</v>
      </c>
      <c r="I4" s="2">
        <f>1/POWER(1+Parameters!$B$5, A4)</f>
        <v>0.75131480090157754</v>
      </c>
      <c r="J4" s="6">
        <f t="shared" si="0"/>
        <v>29589339.496738758</v>
      </c>
      <c r="K4" s="6">
        <f>SUM($G$2:G4)</f>
        <v>4544239715.787612</v>
      </c>
      <c r="L4">
        <f t="shared" si="1"/>
        <v>899380.77708296489</v>
      </c>
      <c r="M4" s="14">
        <f>L4*IF(E4="",Parameters!$B$2,E4)</f>
        <v>1439009243.3327439</v>
      </c>
      <c r="N4" s="17">
        <f t="shared" si="2"/>
        <v>36119132.007651873</v>
      </c>
      <c r="O4" s="17">
        <f t="shared" si="3"/>
        <v>27136838.473066762</v>
      </c>
    </row>
    <row r="5" spans="1:15">
      <c r="A5" s="2">
        <v>4</v>
      </c>
      <c r="B5" s="2">
        <v>18000000</v>
      </c>
      <c r="C5" s="2">
        <v>1.9950000000000001</v>
      </c>
      <c r="D5" s="2">
        <v>0.82</v>
      </c>
      <c r="E5" s="2">
        <v>1600</v>
      </c>
      <c r="F5" s="2">
        <f>IFERROR(B5*C5*IF(D5="", Parameters!$B$2, D5)/Parameters!$B$6, 0)</f>
        <v>946716.60745575256</v>
      </c>
      <c r="G5" s="13">
        <f>F5*IF(E5="", Parameters!$B$2, E5)</f>
        <v>1514746571.929204</v>
      </c>
      <c r="H5" s="2">
        <f>G5*Parameters!$B$4</f>
        <v>39383410.870159298</v>
      </c>
      <c r="I5" s="2">
        <f>1/POWER(1+Parameters!$B$5, A5)</f>
        <v>0.68301345536507052</v>
      </c>
      <c r="J5" s="6">
        <f t="shared" si="0"/>
        <v>26899399.542489782</v>
      </c>
      <c r="K5" s="6">
        <f>SUM($G$2:G5)</f>
        <v>6058986287.7168159</v>
      </c>
      <c r="L5">
        <f t="shared" si="1"/>
        <v>899380.77708296489</v>
      </c>
      <c r="M5" s="14">
        <f>L5*IF(E5="",Parameters!$B$2,E5)</f>
        <v>1439009243.3327439</v>
      </c>
      <c r="N5" s="17">
        <f t="shared" si="2"/>
        <v>36119132.007651873</v>
      </c>
      <c r="O5" s="17">
        <f t="shared" si="3"/>
        <v>24669853.157333422</v>
      </c>
    </row>
    <row r="6" spans="1:15">
      <c r="A6" s="2">
        <v>5</v>
      </c>
      <c r="B6" s="2">
        <v>18000000</v>
      </c>
      <c r="C6" s="2">
        <v>1.9950000000000001</v>
      </c>
      <c r="D6" s="2">
        <v>0.82</v>
      </c>
      <c r="E6" s="2">
        <v>1600</v>
      </c>
      <c r="F6" s="2">
        <f>IFERROR(B6*C6*IF(D6="", Parameters!$B$2, D6)/Parameters!$B$6, 0)</f>
        <v>946716.60745575256</v>
      </c>
      <c r="G6" s="13">
        <f>F6*IF(E6="", Parameters!$B$2, E6)</f>
        <v>1514746571.929204</v>
      </c>
      <c r="H6" s="2">
        <f>G6*Parameters!$B$4</f>
        <v>39383410.870159298</v>
      </c>
      <c r="I6" s="2">
        <f>1/POWER(1+Parameters!$B$5, A6)</f>
        <v>0.62092132305915493</v>
      </c>
      <c r="J6" s="6">
        <f t="shared" si="0"/>
        <v>24453999.584081616</v>
      </c>
      <c r="K6" s="6">
        <f>SUM($G$2:G6)</f>
        <v>7573732859.6460199</v>
      </c>
      <c r="L6">
        <f t="shared" si="1"/>
        <v>899380.77708296489</v>
      </c>
      <c r="M6" s="14">
        <f>L6*IF(E6="",Parameters!$B$2,E6)</f>
        <v>1439009243.3327439</v>
      </c>
      <c r="N6" s="17">
        <f t="shared" si="2"/>
        <v>36119132.007651873</v>
      </c>
      <c r="O6" s="17">
        <f t="shared" si="3"/>
        <v>22427139.233939473</v>
      </c>
    </row>
    <row r="7" spans="1:15">
      <c r="A7" s="2">
        <v>6</v>
      </c>
      <c r="B7" s="2">
        <v>18000000</v>
      </c>
      <c r="C7" s="2">
        <v>1.9950000000000001</v>
      </c>
      <c r="D7" s="2">
        <v>0.82</v>
      </c>
      <c r="E7" s="2">
        <v>1600</v>
      </c>
      <c r="F7" s="2">
        <f>IFERROR(B7*C7*IF(D7="", Parameters!$B$2, D7)/Parameters!$B$6, 0)</f>
        <v>946716.60745575256</v>
      </c>
      <c r="G7" s="13">
        <f>F7*IF(E7="", Parameters!$B$2, E7)</f>
        <v>1514746571.929204</v>
      </c>
      <c r="H7" s="2">
        <f>G7*Parameters!$B$4</f>
        <v>39383410.870159298</v>
      </c>
      <c r="I7" s="2">
        <f>1/POWER(1+Parameters!$B$5, A7)</f>
        <v>0.56447393005377722</v>
      </c>
      <c r="J7" s="6">
        <f t="shared" si="0"/>
        <v>22230908.712801468</v>
      </c>
      <c r="K7" s="6">
        <f>SUM($G$2:G7)</f>
        <v>9088479431.5752239</v>
      </c>
      <c r="L7">
        <f t="shared" si="1"/>
        <v>899380.77708296489</v>
      </c>
      <c r="M7" s="14">
        <f>L7*IF(E7="",Parameters!$B$2,E7)</f>
        <v>1439009243.3327439</v>
      </c>
      <c r="N7" s="17">
        <f t="shared" si="2"/>
        <v>36119132.007651873</v>
      </c>
      <c r="O7" s="17">
        <f t="shared" si="3"/>
        <v>20388308.394490428</v>
      </c>
    </row>
    <row r="8" spans="1:15">
      <c r="A8" s="2">
        <v>7</v>
      </c>
      <c r="B8" s="2">
        <v>18000000</v>
      </c>
      <c r="C8" s="2">
        <v>1.9950000000000001</v>
      </c>
      <c r="D8" s="2">
        <v>0.82</v>
      </c>
      <c r="E8" s="2">
        <v>1600</v>
      </c>
      <c r="F8" s="2">
        <f>IFERROR(B8*C8*IF(D8="", Parameters!$B$2, D8)/Parameters!$B$6, 0)</f>
        <v>946716.60745575256</v>
      </c>
      <c r="G8" s="13">
        <f>F8*IF(E8="", Parameters!$B$2, E8)</f>
        <v>1514746571.929204</v>
      </c>
      <c r="H8" s="2">
        <f>G8*Parameters!$B$4</f>
        <v>39383410.870159298</v>
      </c>
      <c r="I8" s="2">
        <f>1/POWER(1+Parameters!$B$5, A8)</f>
        <v>0.51315811823070645</v>
      </c>
      <c r="J8" s="6">
        <f t="shared" si="0"/>
        <v>20209917.011637695</v>
      </c>
      <c r="K8" s="6">
        <f>SUM($G$2:G8)</f>
        <v>10603226003.504429</v>
      </c>
      <c r="L8">
        <f t="shared" si="1"/>
        <v>899380.77708296489</v>
      </c>
      <c r="M8" s="14">
        <f>L8*IF(E8="",Parameters!$B$2,E8)</f>
        <v>1439009243.3327439</v>
      </c>
      <c r="N8" s="17">
        <f t="shared" si="2"/>
        <v>36119132.007651873</v>
      </c>
      <c r="O8" s="17">
        <f t="shared" si="3"/>
        <v>18534825.813173115</v>
      </c>
    </row>
    <row r="9" spans="1:15">
      <c r="A9" s="2">
        <v>8</v>
      </c>
      <c r="B9" s="2">
        <v>18000000</v>
      </c>
      <c r="C9" s="2">
        <v>1.9950000000000001</v>
      </c>
      <c r="D9" s="2">
        <v>0.82</v>
      </c>
      <c r="E9" s="2">
        <v>1600</v>
      </c>
      <c r="F9" s="2">
        <f>IFERROR(B9*C9*IF(D9="", Parameters!$B$2, D9)/Parameters!$B$6, 0)</f>
        <v>946716.60745575256</v>
      </c>
      <c r="G9" s="13">
        <f>F9*IF(E9="", Parameters!$B$2, E9)</f>
        <v>1514746571.929204</v>
      </c>
      <c r="H9" s="2">
        <f>G9*Parameters!$B$4</f>
        <v>39383410.870159298</v>
      </c>
      <c r="I9" s="2">
        <f>1/POWER(1+Parameters!$B$5, A9)</f>
        <v>0.46650738020973315</v>
      </c>
      <c r="J9" s="6">
        <f t="shared" si="0"/>
        <v>18372651.82876154</v>
      </c>
      <c r="K9" s="6">
        <f>SUM($G$2:G9)</f>
        <v>12117972575.433632</v>
      </c>
      <c r="L9">
        <f t="shared" si="1"/>
        <v>899380.77708296489</v>
      </c>
      <c r="M9" s="14">
        <f>L9*IF(E9="",Parameters!$B$2,E9)</f>
        <v>1439009243.3327439</v>
      </c>
      <c r="N9" s="17">
        <f t="shared" si="2"/>
        <v>36119132.007651873</v>
      </c>
      <c r="O9" s="17">
        <f t="shared" si="3"/>
        <v>16849841.648339193</v>
      </c>
    </row>
    <row r="10" spans="1:15">
      <c r="A10" s="2">
        <v>9</v>
      </c>
      <c r="B10" s="2">
        <v>18000000</v>
      </c>
      <c r="C10" s="2">
        <v>1.9950000000000001</v>
      </c>
      <c r="D10" s="2">
        <v>0.82</v>
      </c>
      <c r="E10" s="2">
        <v>1600</v>
      </c>
      <c r="F10" s="2">
        <f>IFERROR(B10*C10*IF(D10="", Parameters!$B$2, D10)/Parameters!$B$6, 0)</f>
        <v>946716.60745575256</v>
      </c>
      <c r="G10" s="13">
        <f>F10*IF(E10="", Parameters!$B$2, E10)</f>
        <v>1514746571.929204</v>
      </c>
      <c r="H10" s="2">
        <f>G10*Parameters!$B$4</f>
        <v>39383410.870159298</v>
      </c>
      <c r="I10" s="2">
        <f>1/POWER(1+Parameters!$B$5, A10)</f>
        <v>0.42409761837248466</v>
      </c>
      <c r="J10" s="6">
        <f t="shared" si="0"/>
        <v>16702410.753419582</v>
      </c>
      <c r="K10" s="6">
        <f>SUM($G$2:G10)</f>
        <v>13632719147.362835</v>
      </c>
      <c r="L10">
        <f t="shared" si="1"/>
        <v>899380.77708296489</v>
      </c>
      <c r="M10" s="14">
        <f>L10*IF(E10="",Parameters!$B$2,E10)</f>
        <v>1439009243.3327439</v>
      </c>
      <c r="N10" s="17">
        <f t="shared" si="2"/>
        <v>36119132.007651873</v>
      </c>
      <c r="O10" s="17">
        <f t="shared" si="3"/>
        <v>15318037.86212654</v>
      </c>
    </row>
    <row r="11" spans="1:15">
      <c r="A11" s="2">
        <v>10</v>
      </c>
      <c r="B11" s="2">
        <v>18000000</v>
      </c>
      <c r="C11" s="2">
        <v>1.9950000000000001</v>
      </c>
      <c r="D11" s="2">
        <v>0.82</v>
      </c>
      <c r="E11" s="2">
        <v>1600</v>
      </c>
      <c r="F11" s="2">
        <f>IFERROR(B11*C11*IF(D11="", Parameters!$B$2, D11)/Parameters!$B$6, 0)</f>
        <v>946716.60745575256</v>
      </c>
      <c r="G11" s="13">
        <f>F11*IF(E11="", Parameters!$B$2, E11)</f>
        <v>1514746571.929204</v>
      </c>
      <c r="H11" s="2">
        <f>G11*Parameters!$B$4</f>
        <v>39383410.870159298</v>
      </c>
      <c r="I11" s="2">
        <f>1/POWER(1+Parameters!$B$5, A11)</f>
        <v>0.38554328942953148</v>
      </c>
      <c r="J11" s="6">
        <f t="shared" si="0"/>
        <v>15184009.775835982</v>
      </c>
      <c r="K11" s="6">
        <f>SUM($G$2:G11)</f>
        <v>15147465719.292038</v>
      </c>
      <c r="L11">
        <f t="shared" si="1"/>
        <v>899380.77708296489</v>
      </c>
      <c r="M11" s="14">
        <f>L11*IF(E11="",Parameters!$B$2,E11)</f>
        <v>1439009243.3327439</v>
      </c>
      <c r="N11" s="17">
        <f t="shared" si="2"/>
        <v>36119132.007651873</v>
      </c>
      <c r="O11" s="17">
        <f t="shared" si="3"/>
        <v>13925488.96556958</v>
      </c>
    </row>
    <row r="12" spans="1:15">
      <c r="A12" s="2">
        <v>11</v>
      </c>
      <c r="B12" s="2">
        <v>18000000</v>
      </c>
      <c r="C12" s="2">
        <v>1.9950000000000001</v>
      </c>
      <c r="D12" s="2">
        <v>0.82</v>
      </c>
      <c r="E12" s="2">
        <v>1600</v>
      </c>
      <c r="F12" s="2">
        <f>IFERROR(B12*C12*IF(D12="", Parameters!$B$2, D12)/Parameters!$B$6, 0)</f>
        <v>946716.60745575256</v>
      </c>
      <c r="G12" s="13">
        <f>F12*IF(E12="", Parameters!$B$2, E12)</f>
        <v>1514746571.929204</v>
      </c>
      <c r="H12" s="2">
        <f>G12*Parameters!$B$4</f>
        <v>39383410.870159298</v>
      </c>
      <c r="I12" s="2">
        <f>1/POWER(1+Parameters!$B$5, A12)</f>
        <v>0.3504938994813922</v>
      </c>
      <c r="J12" s="6">
        <f t="shared" si="0"/>
        <v>13803645.250759982</v>
      </c>
      <c r="K12" s="6">
        <f>SUM($G$2:G12)</f>
        <v>16662212291.221241</v>
      </c>
      <c r="L12">
        <f t="shared" si="1"/>
        <v>899380.77708296489</v>
      </c>
      <c r="M12" s="14">
        <f>L12*IF(E12="",Parameters!$B$2,E12)</f>
        <v>1439009243.3327439</v>
      </c>
      <c r="N12" s="17">
        <f t="shared" si="2"/>
        <v>36119132.007651873</v>
      </c>
      <c r="O12" s="17">
        <f t="shared" si="3"/>
        <v>12659535.423245071</v>
      </c>
    </row>
    <row r="13" spans="1:15">
      <c r="A13" s="2">
        <v>12</v>
      </c>
      <c r="B13" s="2">
        <v>18000000</v>
      </c>
      <c r="C13" s="2">
        <v>1.9950000000000001</v>
      </c>
      <c r="D13" s="2">
        <v>0.82</v>
      </c>
      <c r="E13" s="2">
        <v>1600</v>
      </c>
      <c r="F13" s="2">
        <f>IFERROR(B13*C13*IF(D13="", Parameters!$B$2, D13)/Parameters!$B$6, 0)</f>
        <v>946716.60745575256</v>
      </c>
      <c r="G13" s="13">
        <f>F13*IF(E13="", Parameters!$B$2, E13)</f>
        <v>1514746571.929204</v>
      </c>
      <c r="H13" s="2">
        <f>G13*Parameters!$B$4</f>
        <v>39383410.870159298</v>
      </c>
      <c r="I13" s="2">
        <f>1/POWER(1+Parameters!$B$5, A13)</f>
        <v>0.31863081771035656</v>
      </c>
      <c r="J13" s="6">
        <f t="shared" si="0"/>
        <v>12548768.409781802</v>
      </c>
      <c r="K13" s="6">
        <f>SUM($G$2:G13)</f>
        <v>18176958863.150444</v>
      </c>
      <c r="L13">
        <f t="shared" si="1"/>
        <v>899380.77708296489</v>
      </c>
      <c r="M13" s="14">
        <f>L13*IF(E13="",Parameters!$B$2,E13)</f>
        <v>1439009243.3327439</v>
      </c>
      <c r="N13" s="17">
        <f t="shared" si="2"/>
        <v>36119132.007651873</v>
      </c>
      <c r="O13" s="17">
        <f t="shared" si="3"/>
        <v>11508668.566586429</v>
      </c>
    </row>
    <row r="14" spans="1:15">
      <c r="A14" s="2">
        <v>13</v>
      </c>
      <c r="B14" s="2">
        <v>18000000</v>
      </c>
      <c r="C14" s="2">
        <v>1.9950000000000001</v>
      </c>
      <c r="D14" s="2">
        <v>0.82</v>
      </c>
      <c r="E14" s="2">
        <v>1600</v>
      </c>
      <c r="F14" s="2">
        <f>IFERROR(B14*C14*IF(D14="", Parameters!$B$2, D14)/Parameters!$B$6, 0)</f>
        <v>946716.60745575256</v>
      </c>
      <c r="G14" s="13">
        <f>F14*IF(E14="", Parameters!$B$2, E14)</f>
        <v>1514746571.929204</v>
      </c>
      <c r="H14" s="2">
        <f>G14*Parameters!$B$4</f>
        <v>39383410.870159298</v>
      </c>
      <c r="I14" s="2">
        <f>1/POWER(1+Parameters!$B$5, A14)</f>
        <v>0.28966437973668779</v>
      </c>
      <c r="J14" s="6">
        <f t="shared" si="0"/>
        <v>11407971.281619821</v>
      </c>
      <c r="K14" s="6">
        <f>SUM($G$2:G14)</f>
        <v>19691705435.079647</v>
      </c>
      <c r="L14">
        <f t="shared" si="1"/>
        <v>899380.77708296489</v>
      </c>
      <c r="M14" s="14">
        <f>L14*IF(E14="",Parameters!$B$2,E14)</f>
        <v>1439009243.3327439</v>
      </c>
      <c r="N14" s="17">
        <f t="shared" si="2"/>
        <v>36119132.007651873</v>
      </c>
      <c r="O14" s="17">
        <f t="shared" si="3"/>
        <v>10462425.969624028</v>
      </c>
    </row>
    <row r="15" spans="1:15">
      <c r="A15" s="2">
        <v>14</v>
      </c>
      <c r="B15" s="2">
        <v>18000000</v>
      </c>
      <c r="C15" s="2">
        <v>1.9950000000000001</v>
      </c>
      <c r="D15" s="2">
        <v>0.82</v>
      </c>
      <c r="E15" s="2">
        <v>1600</v>
      </c>
      <c r="F15" s="2">
        <f>IFERROR(B15*C15*IF(D15="", Parameters!$B$2, D15)/Parameters!$B$6, 0)</f>
        <v>946716.60745575256</v>
      </c>
      <c r="G15" s="13">
        <f>F15*IF(E15="", Parameters!$B$2, E15)</f>
        <v>1514746571.929204</v>
      </c>
      <c r="H15" s="2">
        <f>G15*Parameters!$B$4</f>
        <v>39383410.870159298</v>
      </c>
      <c r="I15" s="2">
        <f>1/POWER(1+Parameters!$B$5, A15)</f>
        <v>0.26333125430607973</v>
      </c>
      <c r="J15" s="6">
        <f t="shared" si="0"/>
        <v>10370882.983290743</v>
      </c>
      <c r="K15" s="6">
        <f>SUM($G$2:G15)</f>
        <v>21206452007.00885</v>
      </c>
      <c r="L15">
        <f t="shared" si="1"/>
        <v>899380.77708296489</v>
      </c>
      <c r="M15" s="14">
        <f>L15*IF(E15="",Parameters!$B$2,E15)</f>
        <v>1439009243.3327439</v>
      </c>
      <c r="N15" s="17">
        <f t="shared" si="2"/>
        <v>36119132.007651873</v>
      </c>
      <c r="O15" s="17">
        <f t="shared" si="3"/>
        <v>9511296.3360218387</v>
      </c>
    </row>
    <row r="16" spans="1:15">
      <c r="A16" s="2">
        <v>15</v>
      </c>
      <c r="B16" s="2">
        <v>18000000</v>
      </c>
      <c r="C16" s="2">
        <v>1.9950000000000001</v>
      </c>
      <c r="D16" s="2">
        <v>0.82</v>
      </c>
      <c r="E16" s="2">
        <v>1600</v>
      </c>
      <c r="F16" s="2">
        <f>IFERROR(B16*C16*IF(D16="", Parameters!$B$2, D16)/Parameters!$B$6, 0)</f>
        <v>946716.60745575256</v>
      </c>
      <c r="G16" s="13">
        <f>F16*IF(E16="", Parameters!$B$2, E16)</f>
        <v>1514746571.929204</v>
      </c>
      <c r="H16" s="2">
        <f>G16*Parameters!$B$4</f>
        <v>39383410.870159298</v>
      </c>
      <c r="I16" s="2">
        <f>1/POWER(1+Parameters!$B$5, A16)</f>
        <v>0.23939204936916339</v>
      </c>
      <c r="J16" s="6">
        <f t="shared" si="0"/>
        <v>9428075.4393552206</v>
      </c>
      <c r="K16" s="6">
        <f>SUM($G$2:G16)</f>
        <v>22721198578.938053</v>
      </c>
      <c r="L16">
        <f t="shared" si="1"/>
        <v>899380.77708296489</v>
      </c>
      <c r="M16" s="14">
        <f>L16*IF(E16="",Parameters!$B$2,E16)</f>
        <v>1439009243.3327439</v>
      </c>
      <c r="N16" s="17">
        <f t="shared" si="2"/>
        <v>36119132.007651873</v>
      </c>
      <c r="O16" s="17">
        <f t="shared" si="3"/>
        <v>8646633.0327471271</v>
      </c>
    </row>
    <row r="17" spans="1:15">
      <c r="A17" s="2">
        <v>16</v>
      </c>
      <c r="B17" s="2">
        <v>18000000</v>
      </c>
      <c r="C17" s="2">
        <v>1.9950000000000001</v>
      </c>
      <c r="D17" s="2">
        <v>0.82</v>
      </c>
      <c r="E17" s="2">
        <v>1600</v>
      </c>
      <c r="F17" s="2">
        <f>IFERROR(B17*C17*IF(D17="", Parameters!$B$2, D17)/Parameters!$B$6, 0)</f>
        <v>946716.60745575256</v>
      </c>
      <c r="G17" s="13">
        <f>F17*IF(E17="", Parameters!$B$2, E17)</f>
        <v>1514746571.929204</v>
      </c>
      <c r="H17" s="2">
        <f>G17*Parameters!$B$4</f>
        <v>39383410.870159298</v>
      </c>
      <c r="I17" s="2">
        <f>1/POWER(1+Parameters!$B$5, A17)</f>
        <v>0.21762913579014853</v>
      </c>
      <c r="J17" s="6">
        <f t="shared" si="0"/>
        <v>8570977.6721411105</v>
      </c>
      <c r="K17" s="6">
        <f>SUM($G$2:G17)</f>
        <v>24235945150.867256</v>
      </c>
      <c r="L17">
        <f t="shared" si="1"/>
        <v>899380.77708296489</v>
      </c>
      <c r="M17" s="14">
        <f>L17*IF(E17="",Parameters!$B$2,E17)</f>
        <v>1439009243.3327439</v>
      </c>
      <c r="N17" s="17">
        <f t="shared" si="2"/>
        <v>36119132.007651873</v>
      </c>
      <c r="O17" s="17">
        <f t="shared" si="3"/>
        <v>7860575.4843155695</v>
      </c>
    </row>
    <row r="18" spans="1:15">
      <c r="A18" s="2">
        <v>17</v>
      </c>
      <c r="B18" s="2">
        <v>18000000</v>
      </c>
      <c r="C18" s="2">
        <v>1.9950000000000001</v>
      </c>
      <c r="D18" s="2">
        <v>0.82</v>
      </c>
      <c r="E18" s="2">
        <v>1600</v>
      </c>
      <c r="F18" s="2">
        <f>IFERROR(B18*C18*IF(D18="", Parameters!$B$2, D18)/Parameters!$B$6, 0)</f>
        <v>946716.60745575256</v>
      </c>
      <c r="G18" s="13">
        <f>F18*IF(E18="", Parameters!$B$2, E18)</f>
        <v>1514746571.929204</v>
      </c>
      <c r="H18" s="2">
        <f>G18*Parameters!$B$4</f>
        <v>39383410.870159298</v>
      </c>
      <c r="I18" s="2">
        <f>1/POWER(1+Parameters!$B$5, A18)</f>
        <v>0.19784466890013502</v>
      </c>
      <c r="J18" s="6">
        <f t="shared" si="0"/>
        <v>7791797.8837646451</v>
      </c>
      <c r="K18" s="6">
        <f>SUM($G$2:G18)</f>
        <v>25750691722.796459</v>
      </c>
      <c r="L18">
        <f t="shared" si="1"/>
        <v>899380.77708296489</v>
      </c>
      <c r="M18" s="14">
        <f>L18*IF(E18="",Parameters!$B$2,E18)</f>
        <v>1439009243.3327439</v>
      </c>
      <c r="N18" s="17">
        <f t="shared" si="2"/>
        <v>36119132.007651873</v>
      </c>
      <c r="O18" s="17">
        <f t="shared" si="3"/>
        <v>7145977.7130141538</v>
      </c>
    </row>
    <row r="19" spans="1:15">
      <c r="A19" s="2">
        <v>18</v>
      </c>
      <c r="B19" s="2">
        <v>18000000</v>
      </c>
      <c r="C19" s="2">
        <v>1.9950000000000001</v>
      </c>
      <c r="D19" s="2">
        <v>0.82</v>
      </c>
      <c r="E19" s="2">
        <v>1600</v>
      </c>
      <c r="F19" s="2">
        <f>IFERROR(B19*C19*IF(D19="", Parameters!$B$2, D19)/Parameters!$B$6, 0)</f>
        <v>946716.60745575256</v>
      </c>
      <c r="G19" s="13">
        <f>F19*IF(E19="", Parameters!$B$2, E19)</f>
        <v>1514746571.929204</v>
      </c>
      <c r="H19" s="2">
        <f>G19*Parameters!$B$4</f>
        <v>39383410.870159298</v>
      </c>
      <c r="I19" s="2">
        <f>1/POWER(1+Parameters!$B$5, A19)</f>
        <v>0.17985878990921364</v>
      </c>
      <c r="J19" s="6">
        <f t="shared" si="0"/>
        <v>7083452.6216042219</v>
      </c>
      <c r="K19" s="6">
        <f>SUM($G$2:G19)</f>
        <v>27265438294.725662</v>
      </c>
      <c r="L19">
        <f t="shared" si="1"/>
        <v>899380.77708296489</v>
      </c>
      <c r="M19" s="14">
        <f>L19*IF(E19="",Parameters!$B$2,E19)</f>
        <v>1439009243.3327439</v>
      </c>
      <c r="N19" s="17">
        <f t="shared" si="2"/>
        <v>36119132.007651873</v>
      </c>
      <c r="O19" s="17">
        <f t="shared" si="3"/>
        <v>6496343.3754674122</v>
      </c>
    </row>
    <row r="20" spans="1:15">
      <c r="A20" s="2">
        <v>19</v>
      </c>
      <c r="B20" s="2">
        <v>18000000</v>
      </c>
      <c r="C20" s="2">
        <v>1.9950000000000001</v>
      </c>
      <c r="D20" s="2">
        <v>0.82</v>
      </c>
      <c r="E20" s="2">
        <v>1600</v>
      </c>
      <c r="F20" s="2">
        <f>IFERROR(B20*C20*IF(D20="", Parameters!$B$2, D20)/Parameters!$B$6, 0)</f>
        <v>946716.60745575256</v>
      </c>
      <c r="G20" s="13">
        <f>F20*IF(E20="", Parameters!$B$2, E20)</f>
        <v>1514746571.929204</v>
      </c>
      <c r="H20" s="2">
        <f>G20*Parameters!$B$4</f>
        <v>39383410.870159298</v>
      </c>
      <c r="I20" s="2">
        <f>1/POWER(1+Parameters!$B$5, A20)</f>
        <v>0.16350799082655781</v>
      </c>
      <c r="J20" s="6">
        <f t="shared" si="0"/>
        <v>6439502.3832765641</v>
      </c>
      <c r="K20" s="6">
        <f>SUM($G$2:G20)</f>
        <v>28780184866.654865</v>
      </c>
      <c r="L20">
        <f t="shared" si="1"/>
        <v>899380.77708296489</v>
      </c>
      <c r="M20" s="14">
        <f>L20*IF(E20="",Parameters!$B$2,E20)</f>
        <v>1439009243.3327439</v>
      </c>
      <c r="N20" s="17">
        <f t="shared" si="2"/>
        <v>36119132.007651873</v>
      </c>
      <c r="O20" s="17">
        <f t="shared" si="3"/>
        <v>5905766.7049703728</v>
      </c>
    </row>
    <row r="21" spans="1:15">
      <c r="A21" s="2">
        <v>20</v>
      </c>
      <c r="B21" s="2">
        <v>18000000</v>
      </c>
      <c r="C21" s="2">
        <v>1.9950000000000001</v>
      </c>
      <c r="D21" s="2">
        <v>0.82</v>
      </c>
      <c r="E21" s="2">
        <v>1600</v>
      </c>
      <c r="F21" s="2">
        <f>IFERROR(B21*C21*IF(D21="", Parameters!$B$2, D21)/Parameters!$B$6, 0)</f>
        <v>946716.60745575256</v>
      </c>
      <c r="G21" s="13">
        <f>F21*IF(E21="", Parameters!$B$2, E21)</f>
        <v>1514746571.929204</v>
      </c>
      <c r="H21" s="2">
        <f>G21*Parameters!$B$4</f>
        <v>39383410.870159298</v>
      </c>
      <c r="I21" s="2">
        <f>1/POWER(1+Parameters!$B$5, A21)</f>
        <v>0.14864362802414349</v>
      </c>
      <c r="J21" s="6">
        <f t="shared" si="0"/>
        <v>5854093.0757059678</v>
      </c>
      <c r="K21" s="6">
        <f>SUM($G$2:G21)</f>
        <v>30294931438.584068</v>
      </c>
      <c r="L21">
        <f t="shared" si="1"/>
        <v>899380.77708296489</v>
      </c>
      <c r="M21" s="14">
        <f>L21*IF(E21="",Parameters!$B$2,E21)</f>
        <v>1439009243.3327439</v>
      </c>
      <c r="N21" s="17">
        <f t="shared" si="2"/>
        <v>36119132.007651873</v>
      </c>
      <c r="O21" s="17">
        <f t="shared" si="3"/>
        <v>5368878.8227003403</v>
      </c>
    </row>
    <row r="22" spans="1:15">
      <c r="A22" s="2">
        <v>21</v>
      </c>
      <c r="B22" s="2">
        <v>18000000</v>
      </c>
      <c r="C22" s="2">
        <v>1.9950000000000001</v>
      </c>
      <c r="D22" s="2">
        <v>0.82</v>
      </c>
      <c r="E22" s="2">
        <v>1600</v>
      </c>
      <c r="F22" s="2">
        <f>IFERROR(B22*C22*IF(D22="", Parameters!$B$2, D22)/Parameters!$B$6, 0)</f>
        <v>946716.60745575256</v>
      </c>
      <c r="G22" s="13">
        <f>F22*IF(E22="", Parameters!$B$2, E22)</f>
        <v>1514746571.929204</v>
      </c>
      <c r="H22" s="2">
        <f>G22*Parameters!$B$4</f>
        <v>39383410.870159298</v>
      </c>
      <c r="I22" s="2">
        <f>1/POWER(1+Parameters!$B$5, A22)</f>
        <v>0.13513057093103953</v>
      </c>
      <c r="J22" s="6">
        <f t="shared" si="0"/>
        <v>5321902.7960963342</v>
      </c>
      <c r="K22" s="6">
        <f>SUM($G$2:G22)</f>
        <v>31809678010.513271</v>
      </c>
      <c r="L22">
        <f t="shared" si="1"/>
        <v>899380.77708296489</v>
      </c>
      <c r="M22" s="14">
        <f>L22*IF(E22="",Parameters!$B$2,E22)</f>
        <v>1439009243.3327439</v>
      </c>
      <c r="N22" s="17">
        <f t="shared" si="2"/>
        <v>36119132.007651873</v>
      </c>
      <c r="O22" s="17">
        <f t="shared" si="3"/>
        <v>4880798.9297275813</v>
      </c>
    </row>
    <row r="23" spans="1:15">
      <c r="A23" s="2">
        <v>22</v>
      </c>
      <c r="B23" s="2">
        <v>18000000</v>
      </c>
      <c r="C23" s="2">
        <v>1.9950000000000001</v>
      </c>
      <c r="D23" s="2">
        <v>0.82</v>
      </c>
      <c r="E23" s="2">
        <v>1600</v>
      </c>
      <c r="F23" s="2">
        <f>IFERROR(B23*C23*IF(D23="", Parameters!$B$2, D23)/Parameters!$B$6, 0)</f>
        <v>946716.60745575256</v>
      </c>
      <c r="G23" s="13">
        <f>F23*IF(E23="", Parameters!$B$2, E23)</f>
        <v>1514746571.929204</v>
      </c>
      <c r="H23" s="2">
        <f>G23*Parameters!$B$4</f>
        <v>39383410.870159298</v>
      </c>
      <c r="I23" s="2">
        <f>1/POWER(1+Parameters!$B$5, A23)</f>
        <v>0.12284597357367227</v>
      </c>
      <c r="J23" s="6">
        <f t="shared" si="0"/>
        <v>4838093.4509966662</v>
      </c>
      <c r="K23" s="6">
        <f>SUM($G$2:G23)</f>
        <v>33324424582.442474</v>
      </c>
      <c r="L23">
        <f t="shared" si="1"/>
        <v>899380.77708296489</v>
      </c>
      <c r="M23" s="14">
        <f>L23*IF(E23="",Parameters!$B$2,E23)</f>
        <v>1439009243.3327439</v>
      </c>
      <c r="N23" s="17">
        <f t="shared" si="2"/>
        <v>36119132.007651873</v>
      </c>
      <c r="O23" s="17">
        <f t="shared" si="3"/>
        <v>4437089.936115982</v>
      </c>
    </row>
    <row r="24" spans="1:15">
      <c r="A24" s="2">
        <v>23</v>
      </c>
      <c r="B24" s="2">
        <v>18000000</v>
      </c>
      <c r="C24" s="2">
        <v>1.9950000000000001</v>
      </c>
      <c r="D24" s="2">
        <v>0.82</v>
      </c>
      <c r="E24" s="2">
        <v>1600</v>
      </c>
      <c r="F24" s="2">
        <f>IFERROR(B24*C24*IF(D24="", Parameters!$B$2, D24)/Parameters!$B$6, 0)</f>
        <v>946716.60745575256</v>
      </c>
      <c r="G24" s="13">
        <f>F24*IF(E24="", Parameters!$B$2, E24)</f>
        <v>1514746571.929204</v>
      </c>
      <c r="H24" s="2">
        <f>G24*Parameters!$B$4</f>
        <v>39383410.870159298</v>
      </c>
      <c r="I24" s="2">
        <f>1/POWER(1+Parameters!$B$5, A24)</f>
        <v>0.11167815779424752</v>
      </c>
      <c r="J24" s="6">
        <f t="shared" si="0"/>
        <v>4398266.7736333329</v>
      </c>
      <c r="K24" s="6">
        <f>SUM($G$2:G24)</f>
        <v>34839171154.371681</v>
      </c>
      <c r="L24">
        <f t="shared" si="1"/>
        <v>899380.77708296489</v>
      </c>
      <c r="M24" s="14">
        <f>L24*IF(E24="",Parameters!$B$2,E24)</f>
        <v>1439009243.3327439</v>
      </c>
      <c r="N24" s="17">
        <f t="shared" si="2"/>
        <v>36119132.007651873</v>
      </c>
      <c r="O24" s="17">
        <f t="shared" si="3"/>
        <v>4033718.1237418018</v>
      </c>
    </row>
    <row r="25" spans="1:15">
      <c r="A25" s="2">
        <v>24</v>
      </c>
      <c r="B25" s="2">
        <v>18000000</v>
      </c>
      <c r="C25" s="2">
        <v>1.9950000000000001</v>
      </c>
      <c r="D25" s="2">
        <v>0.82</v>
      </c>
      <c r="E25" s="2">
        <v>1600</v>
      </c>
      <c r="F25" s="2">
        <f>IFERROR(B25*C25*IF(D25="", Parameters!$B$2, D25)/Parameters!$B$6, 0)</f>
        <v>946716.60745575256</v>
      </c>
      <c r="G25" s="13">
        <f>F25*IF(E25="", Parameters!$B$2, E25)</f>
        <v>1514746571.929204</v>
      </c>
      <c r="H25" s="2">
        <f>G25*Parameters!$B$4</f>
        <v>39383410.870159298</v>
      </c>
      <c r="I25" s="2">
        <f>1/POWER(1+Parameters!$B$5, A25)</f>
        <v>0.10152559799477048</v>
      </c>
      <c r="J25" s="6">
        <f t="shared" si="0"/>
        <v>3998424.3396666669</v>
      </c>
      <c r="K25" s="6">
        <f>SUM($G$2:G25)</f>
        <v>36353917726.300888</v>
      </c>
      <c r="L25">
        <f t="shared" si="1"/>
        <v>899380.77708296489</v>
      </c>
      <c r="M25" s="14">
        <f>L25*IF(E25="",Parameters!$B$2,E25)</f>
        <v>1439009243.3327439</v>
      </c>
      <c r="N25" s="17">
        <f t="shared" si="2"/>
        <v>36119132.007651873</v>
      </c>
      <c r="O25" s="17">
        <f t="shared" si="3"/>
        <v>3667016.4761289116</v>
      </c>
    </row>
    <row r="26" spans="1:15">
      <c r="A26" s="2">
        <v>25</v>
      </c>
      <c r="B26" s="2">
        <v>18000000</v>
      </c>
      <c r="C26" s="2">
        <v>1.9950000000000001</v>
      </c>
      <c r="D26" s="2">
        <v>0.82</v>
      </c>
      <c r="E26" s="2">
        <v>1600</v>
      </c>
      <c r="F26" s="2">
        <f>IFERROR(B26*C26*IF(D26="", Parameters!$B$2, D26)/Parameters!$B$6, 0)</f>
        <v>946716.60745575256</v>
      </c>
      <c r="G26" s="13">
        <f>F26*IF(E26="", Parameters!$B$2, E26)</f>
        <v>1514746571.929204</v>
      </c>
      <c r="H26" s="2">
        <f>G26*Parameters!$B$4</f>
        <v>39383410.870159298</v>
      </c>
      <c r="I26" s="2">
        <f>1/POWER(1+Parameters!$B$5, A26)</f>
        <v>9.2295998177064048E-2</v>
      </c>
      <c r="J26" s="6">
        <f t="shared" si="0"/>
        <v>3634931.2178787868</v>
      </c>
      <c r="K26" s="6">
        <f>SUM($G$2:G26)</f>
        <v>37868664298.230095</v>
      </c>
      <c r="L26">
        <f t="shared" si="1"/>
        <v>899380.77708296489</v>
      </c>
      <c r="M26" s="14">
        <f>L26*IF(E26="",Parameters!$B$2,E26)</f>
        <v>1439009243.3327439</v>
      </c>
      <c r="N26" s="17">
        <f t="shared" si="2"/>
        <v>36119132.007651873</v>
      </c>
      <c r="O26" s="17">
        <f t="shared" si="3"/>
        <v>3333651.3419353729</v>
      </c>
    </row>
    <row r="27" spans="1:15">
      <c r="A27" s="2">
        <v>26</v>
      </c>
      <c r="B27" s="2">
        <v>18000000</v>
      </c>
      <c r="C27" s="2">
        <v>1.9950000000000001</v>
      </c>
      <c r="D27" s="2">
        <v>0.82</v>
      </c>
      <c r="E27" s="2">
        <v>1600</v>
      </c>
      <c r="F27" s="2">
        <f>IFERROR(B27*C27*IF(D27="", Parameters!$B$2, D27)/Parameters!$B$6, 0)</f>
        <v>946716.60745575256</v>
      </c>
      <c r="G27" s="13">
        <f>F27*IF(E27="", Parameters!$B$2, E27)</f>
        <v>1514746571.929204</v>
      </c>
      <c r="H27" s="2">
        <f>G27*Parameters!$B$4</f>
        <v>39383410.870159298</v>
      </c>
      <c r="I27" s="2">
        <f>1/POWER(1+Parameters!$B$5, A27)</f>
        <v>8.3905452888240042E-2</v>
      </c>
      <c r="J27" s="6">
        <f t="shared" si="0"/>
        <v>3304482.9253443517</v>
      </c>
      <c r="K27" s="6">
        <f>SUM($G$2:G27)</f>
        <v>39383410870.159302</v>
      </c>
      <c r="L27">
        <f t="shared" ref="L27:L28" si="4">F27*0.95</f>
        <v>899380.77708296489</v>
      </c>
      <c r="M27" s="14">
        <f>L27*IF(E27="",Parameters!$B$2,E27)</f>
        <v>1439009243.3327439</v>
      </c>
      <c r="N27" s="17">
        <f t="shared" si="2"/>
        <v>36119132.007651873</v>
      </c>
      <c r="O27" s="17">
        <f t="shared" ref="O27:O28" si="5">N27*I27</f>
        <v>3030592.1290321574</v>
      </c>
    </row>
    <row r="28" spans="1:15">
      <c r="A28" s="2">
        <v>27</v>
      </c>
      <c r="B28" s="2">
        <v>18000000</v>
      </c>
      <c r="C28" s="2">
        <v>1.9950000000000001</v>
      </c>
      <c r="D28" s="2">
        <v>0.82</v>
      </c>
      <c r="E28" s="2">
        <v>1600</v>
      </c>
      <c r="F28" s="2">
        <f>IFERROR(B28*C28*IF(D28="", Parameters!$B$2, D28)/Parameters!$B$6, 0)</f>
        <v>946716.60745575256</v>
      </c>
      <c r="G28" s="13">
        <f>F28*IF(E28="", Parameters!$B$2, E28)</f>
        <v>1514746571.929204</v>
      </c>
      <c r="H28" s="2">
        <f>G28*Parameters!$B$4</f>
        <v>39383410.870159298</v>
      </c>
      <c r="I28" s="2">
        <f>1/POWER(1+Parameters!$B$5, A28)</f>
        <v>7.6277684443854576E-2</v>
      </c>
      <c r="J28" s="6">
        <f t="shared" si="0"/>
        <v>3004075.3866766831</v>
      </c>
      <c r="K28" s="6">
        <f>SUM($G$2:G28)</f>
        <v>40898157442.088509</v>
      </c>
      <c r="L28">
        <f t="shared" si="4"/>
        <v>899380.77708296489</v>
      </c>
      <c r="M28" s="14">
        <f>L28*IF(E28="",Parameters!$B$2,E28)</f>
        <v>1439009243.3327439</v>
      </c>
      <c r="N28" s="17">
        <f t="shared" si="2"/>
        <v>36119132.007651873</v>
      </c>
      <c r="O28" s="17">
        <f t="shared" si="5"/>
        <v>2755083.7536655972</v>
      </c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40898157442.088509</v>
      </c>
      <c r="H39">
        <f>SUM(H2:H33)</f>
        <v>1063352093.4943005</v>
      </c>
      <c r="J39" s="11">
        <f>SUM(J2:J28)</f>
        <v>363793354.83482575</v>
      </c>
      <c r="O39" s="11">
        <f>SUM(O2:O28)</f>
        <v>333640482.53986251</v>
      </c>
    </row>
    <row r="40" spans="1:15">
      <c r="F40" s="3" t="s">
        <v>16</v>
      </c>
      <c r="G40" s="10">
        <f>G39</f>
        <v>40898157442.088509</v>
      </c>
    </row>
    <row r="41" spans="1:15">
      <c r="F41" s="3" t="s">
        <v>17</v>
      </c>
      <c r="G41" s="10">
        <f>H39</f>
        <v>1063352093.4943005</v>
      </c>
    </row>
    <row r="42" spans="1:15">
      <c r="F42" s="3" t="s">
        <v>9</v>
      </c>
      <c r="G42" s="10">
        <f>J39</f>
        <v>363793354.83482575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F40E-3DFE-4B82-8A0F-6C1973348FB9}">
  <sheetPr codeName="Sheet9"/>
  <dimension ref="A1:O42"/>
  <sheetViews>
    <sheetView topLeftCell="A9" workbookViewId="0">
      <pane xSplit="1" topLeftCell="D1" activePane="topRight" state="frozen"/>
      <selection pane="topRight" activeCell="H42" sqref="H42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19000000</v>
      </c>
      <c r="C2" s="2">
        <v>1.929</v>
      </c>
      <c r="D2" s="2">
        <v>0.82</v>
      </c>
      <c r="E2" s="2">
        <v>1600</v>
      </c>
      <c r="F2" s="2">
        <f>IFERROR(B2*C2*IF(D2="", Parameters!$B$2, D2)/Parameters!$B$6, 0)</f>
        <v>966252.02951436327</v>
      </c>
      <c r="G2" s="13">
        <f>F2*IF(E2="", Parameters!$B$2, E2)</f>
        <v>1546003247.2229812</v>
      </c>
      <c r="H2" s="2">
        <f>G2*Parameters!$B$4</f>
        <v>40196084.427797511</v>
      </c>
      <c r="I2" s="2">
        <f>1/POWER(1+Parameters!$B$5, A2)</f>
        <v>0.90909090909090906</v>
      </c>
      <c r="J2" s="6">
        <f t="shared" ref="J2:J33" si="0">H2*I2</f>
        <v>36541894.934361376</v>
      </c>
      <c r="K2" s="6">
        <f>SUM($G$2:G2)</f>
        <v>1546003247.2229812</v>
      </c>
      <c r="L2">
        <f>F2*0.95</f>
        <v>917939.42803864507</v>
      </c>
      <c r="M2" s="14">
        <f>L2*IF(E2="",Parameters!$B$2,E2)</f>
        <v>1468703084.8618321</v>
      </c>
      <c r="N2" s="17">
        <f>M2*0.0251</f>
        <v>36864447.430031985</v>
      </c>
      <c r="O2" s="17">
        <f>N2*I2</f>
        <v>33513134.027301803</v>
      </c>
    </row>
    <row r="3" spans="1:15">
      <c r="A3" s="2">
        <v>2</v>
      </c>
      <c r="B3" s="2">
        <v>19000000</v>
      </c>
      <c r="C3" s="2">
        <v>1.929</v>
      </c>
      <c r="D3" s="2">
        <v>0.82</v>
      </c>
      <c r="E3" s="2">
        <v>1600</v>
      </c>
      <c r="F3" s="2">
        <f>IFERROR(B3*C3*IF(D3="", Parameters!$B$2, D3)/Parameters!$B$6, 0)</f>
        <v>966252.02951436327</v>
      </c>
      <c r="G3" s="13">
        <f>F3*IF(E3="", Parameters!$B$2, E3)</f>
        <v>1546003247.2229812</v>
      </c>
      <c r="H3" s="2">
        <f>G3*Parameters!$B$4</f>
        <v>40196084.427797511</v>
      </c>
      <c r="I3" s="2">
        <f>1/POWER(1+Parameters!$B$5, A3)</f>
        <v>0.82644628099173545</v>
      </c>
      <c r="J3" s="6">
        <f t="shared" si="0"/>
        <v>33219904.485783063</v>
      </c>
      <c r="K3" s="6">
        <f>SUM($G$2:G3)</f>
        <v>3092006494.4459624</v>
      </c>
      <c r="L3">
        <f t="shared" ref="L3:L33" si="1">F3*0.95</f>
        <v>917939.42803864507</v>
      </c>
      <c r="M3" s="14">
        <f>L3*IF(E3="",Parameters!$B$2,E3)</f>
        <v>1468703084.8618321</v>
      </c>
      <c r="N3" s="17">
        <f t="shared" ref="N3:N28" si="2">M3*0.0251</f>
        <v>36864447.430031985</v>
      </c>
      <c r="O3" s="17">
        <f t="shared" ref="O3:O28" si="3">N3*I3</f>
        <v>30466485.479365274</v>
      </c>
    </row>
    <row r="4" spans="1:15">
      <c r="A4" s="2">
        <v>3</v>
      </c>
      <c r="B4" s="2">
        <v>19000000</v>
      </c>
      <c r="C4" s="2">
        <v>1.929</v>
      </c>
      <c r="D4" s="2">
        <v>0.82</v>
      </c>
      <c r="E4" s="2">
        <v>1600</v>
      </c>
      <c r="F4" s="2">
        <f>IFERROR(B4*C4*IF(D4="", Parameters!$B$2, D4)/Parameters!$B$6, 0)</f>
        <v>966252.02951436327</v>
      </c>
      <c r="G4" s="13">
        <f>F4*IF(E4="", Parameters!$B$2, E4)</f>
        <v>1546003247.2229812</v>
      </c>
      <c r="H4" s="2">
        <f>G4*Parameters!$B$4</f>
        <v>40196084.427797511</v>
      </c>
      <c r="I4" s="2">
        <f>1/POWER(1+Parameters!$B$5, A4)</f>
        <v>0.75131480090157754</v>
      </c>
      <c r="J4" s="6">
        <f t="shared" si="0"/>
        <v>30199913.168893687</v>
      </c>
      <c r="K4" s="6">
        <f>SUM($G$2:G4)</f>
        <v>4638009741.6689434</v>
      </c>
      <c r="L4">
        <f t="shared" si="1"/>
        <v>917939.42803864507</v>
      </c>
      <c r="M4" s="14">
        <f>L4*IF(E4="",Parameters!$B$2,E4)</f>
        <v>1468703084.8618321</v>
      </c>
      <c r="N4" s="17">
        <f t="shared" si="2"/>
        <v>36864447.430031985</v>
      </c>
      <c r="O4" s="17">
        <f t="shared" si="3"/>
        <v>27696804.981241152</v>
      </c>
    </row>
    <row r="5" spans="1:15">
      <c r="A5" s="2">
        <v>4</v>
      </c>
      <c r="B5" s="2">
        <v>19000000</v>
      </c>
      <c r="C5" s="2">
        <v>1.929</v>
      </c>
      <c r="D5" s="2">
        <v>0.82</v>
      </c>
      <c r="E5" s="2">
        <v>1600</v>
      </c>
      <c r="F5" s="2">
        <f>IFERROR(B5*C5*IF(D5="", Parameters!$B$2, D5)/Parameters!$B$6, 0)</f>
        <v>966252.02951436327</v>
      </c>
      <c r="G5" s="13">
        <f>F5*IF(E5="", Parameters!$B$2, E5)</f>
        <v>1546003247.2229812</v>
      </c>
      <c r="H5" s="2">
        <f>G5*Parameters!$B$4</f>
        <v>40196084.427797511</v>
      </c>
      <c r="I5" s="2">
        <f>1/POWER(1+Parameters!$B$5, A5)</f>
        <v>0.68301345536507052</v>
      </c>
      <c r="J5" s="6">
        <f t="shared" si="0"/>
        <v>27454466.51717608</v>
      </c>
      <c r="K5" s="6">
        <f>SUM($G$2:G5)</f>
        <v>6184012988.8919249</v>
      </c>
      <c r="L5">
        <f t="shared" si="1"/>
        <v>917939.42803864507</v>
      </c>
      <c r="M5" s="14">
        <f>L5*IF(E5="",Parameters!$B$2,E5)</f>
        <v>1468703084.8618321</v>
      </c>
      <c r="N5" s="17">
        <f t="shared" si="2"/>
        <v>36864447.430031985</v>
      </c>
      <c r="O5" s="17">
        <f t="shared" si="3"/>
        <v>25178913.619310141</v>
      </c>
    </row>
    <row r="6" spans="1:15">
      <c r="A6" s="2">
        <v>5</v>
      </c>
      <c r="B6" s="2">
        <v>19000000</v>
      </c>
      <c r="C6" s="2">
        <v>1.929</v>
      </c>
      <c r="D6" s="2">
        <v>0.82</v>
      </c>
      <c r="E6" s="2">
        <v>1600</v>
      </c>
      <c r="F6" s="2">
        <f>IFERROR(B6*C6*IF(D6="", Parameters!$B$2, D6)/Parameters!$B$6, 0)</f>
        <v>966252.02951436327</v>
      </c>
      <c r="G6" s="13">
        <f>F6*IF(E6="", Parameters!$B$2, E6)</f>
        <v>1546003247.2229812</v>
      </c>
      <c r="H6" s="2">
        <f>G6*Parameters!$B$4</f>
        <v>40196084.427797511</v>
      </c>
      <c r="I6" s="2">
        <f>1/POWER(1+Parameters!$B$5, A6)</f>
        <v>0.62092132305915493</v>
      </c>
      <c r="J6" s="6">
        <f t="shared" si="0"/>
        <v>24958605.924705524</v>
      </c>
      <c r="K6" s="6">
        <f>SUM($G$2:G6)</f>
        <v>7730016236.1149063</v>
      </c>
      <c r="L6">
        <f t="shared" si="1"/>
        <v>917939.42803864507</v>
      </c>
      <c r="M6" s="14">
        <f>L6*IF(E6="",Parameters!$B$2,E6)</f>
        <v>1468703084.8618321</v>
      </c>
      <c r="N6" s="17">
        <f t="shared" si="2"/>
        <v>36864447.430031985</v>
      </c>
      <c r="O6" s="17">
        <f t="shared" si="3"/>
        <v>22889921.472100124</v>
      </c>
    </row>
    <row r="7" spans="1:15">
      <c r="A7" s="2">
        <v>6</v>
      </c>
      <c r="B7" s="2">
        <v>19000000</v>
      </c>
      <c r="C7" s="2">
        <v>1.929</v>
      </c>
      <c r="D7" s="2">
        <v>0.82</v>
      </c>
      <c r="E7" s="2">
        <v>1600</v>
      </c>
      <c r="F7" s="2">
        <f>IFERROR(B7*C7*IF(D7="", Parameters!$B$2, D7)/Parameters!$B$6, 0)</f>
        <v>966252.02951436327</v>
      </c>
      <c r="G7" s="13">
        <f>F7*IF(E7="", Parameters!$B$2, E7)</f>
        <v>1546003247.2229812</v>
      </c>
      <c r="H7" s="2">
        <f>G7*Parameters!$B$4</f>
        <v>40196084.427797511</v>
      </c>
      <c r="I7" s="2">
        <f>1/POWER(1+Parameters!$B$5, A7)</f>
        <v>0.56447393005377722</v>
      </c>
      <c r="J7" s="6">
        <f t="shared" si="0"/>
        <v>22689641.749732297</v>
      </c>
      <c r="K7" s="6">
        <f>SUM($G$2:G7)</f>
        <v>9276019483.3378868</v>
      </c>
      <c r="L7">
        <f t="shared" si="1"/>
        <v>917939.42803864507</v>
      </c>
      <c r="M7" s="14">
        <f>L7*IF(E7="",Parameters!$B$2,E7)</f>
        <v>1468703084.8618321</v>
      </c>
      <c r="N7" s="17">
        <f t="shared" si="2"/>
        <v>36864447.430031985</v>
      </c>
      <c r="O7" s="17">
        <f t="shared" si="3"/>
        <v>20809019.520091023</v>
      </c>
    </row>
    <row r="8" spans="1:15">
      <c r="A8" s="2">
        <v>7</v>
      </c>
      <c r="B8" s="2">
        <v>19000000</v>
      </c>
      <c r="C8" s="2">
        <v>1.929</v>
      </c>
      <c r="D8" s="2">
        <v>0.82</v>
      </c>
      <c r="E8" s="2">
        <v>1600</v>
      </c>
      <c r="F8" s="2">
        <f>IFERROR(B8*C8*IF(D8="", Parameters!$B$2, D8)/Parameters!$B$6, 0)</f>
        <v>966252.02951436327</v>
      </c>
      <c r="G8" s="13">
        <f>F8*IF(E8="", Parameters!$B$2, E8)</f>
        <v>1546003247.2229812</v>
      </c>
      <c r="H8" s="2">
        <f>G8*Parameters!$B$4</f>
        <v>40196084.427797511</v>
      </c>
      <c r="I8" s="2">
        <f>1/POWER(1+Parameters!$B$5, A8)</f>
        <v>0.51315811823070645</v>
      </c>
      <c r="J8" s="6">
        <f t="shared" si="0"/>
        <v>20626947.045211174</v>
      </c>
      <c r="K8" s="6">
        <f>SUM($G$2:G8)</f>
        <v>10822022730.560867</v>
      </c>
      <c r="L8">
        <f t="shared" si="1"/>
        <v>917939.42803864507</v>
      </c>
      <c r="M8" s="14">
        <f>L8*IF(E8="",Parameters!$B$2,E8)</f>
        <v>1468703084.8618321</v>
      </c>
      <c r="N8" s="17">
        <f t="shared" si="2"/>
        <v>36864447.430031985</v>
      </c>
      <c r="O8" s="17">
        <f t="shared" si="3"/>
        <v>18917290.472810015</v>
      </c>
    </row>
    <row r="9" spans="1:15">
      <c r="A9" s="2">
        <v>8</v>
      </c>
      <c r="B9" s="2">
        <v>19000000</v>
      </c>
      <c r="C9" s="2">
        <v>1.929</v>
      </c>
      <c r="D9" s="2">
        <v>0.82</v>
      </c>
      <c r="E9" s="2">
        <v>1600</v>
      </c>
      <c r="F9" s="2">
        <f>IFERROR(B9*C9*IF(D9="", Parameters!$B$2, D9)/Parameters!$B$6, 0)</f>
        <v>966252.02951436327</v>
      </c>
      <c r="G9" s="13">
        <f>F9*IF(E9="", Parameters!$B$2, E9)</f>
        <v>1546003247.2229812</v>
      </c>
      <c r="H9" s="2">
        <f>G9*Parameters!$B$4</f>
        <v>40196084.427797511</v>
      </c>
      <c r="I9" s="2">
        <f>1/POWER(1+Parameters!$B$5, A9)</f>
        <v>0.46650738020973315</v>
      </c>
      <c r="J9" s="6">
        <f t="shared" si="0"/>
        <v>18751770.041101068</v>
      </c>
      <c r="K9" s="6">
        <f>SUM($G$2:G9)</f>
        <v>12368025977.783848</v>
      </c>
      <c r="L9">
        <f t="shared" si="1"/>
        <v>917939.42803864507</v>
      </c>
      <c r="M9" s="14">
        <f>L9*IF(E9="",Parameters!$B$2,E9)</f>
        <v>1468703084.8618321</v>
      </c>
      <c r="N9" s="17">
        <f t="shared" si="2"/>
        <v>36864447.430031985</v>
      </c>
      <c r="O9" s="17">
        <f t="shared" si="3"/>
        <v>17197536.793463651</v>
      </c>
    </row>
    <row r="10" spans="1:15">
      <c r="A10" s="2">
        <v>9</v>
      </c>
      <c r="B10" s="2">
        <v>19000000</v>
      </c>
      <c r="C10" s="2">
        <v>1.929</v>
      </c>
      <c r="D10" s="2">
        <v>0.82</v>
      </c>
      <c r="E10" s="2">
        <v>1600</v>
      </c>
      <c r="F10" s="2">
        <f>IFERROR(B10*C10*IF(D10="", Parameters!$B$2, D10)/Parameters!$B$6, 0)</f>
        <v>966252.02951436327</v>
      </c>
      <c r="G10" s="13">
        <f>F10*IF(E10="", Parameters!$B$2, E10)</f>
        <v>1546003247.2229812</v>
      </c>
      <c r="H10" s="2">
        <f>G10*Parameters!$B$4</f>
        <v>40196084.427797511</v>
      </c>
      <c r="I10" s="2">
        <f>1/POWER(1+Parameters!$B$5, A10)</f>
        <v>0.42409761837248466</v>
      </c>
      <c r="J10" s="6">
        <f t="shared" si="0"/>
        <v>17047063.673728243</v>
      </c>
      <c r="K10" s="6">
        <f>SUM($G$2:G10)</f>
        <v>13914029225.006828</v>
      </c>
      <c r="L10">
        <f t="shared" si="1"/>
        <v>917939.42803864507</v>
      </c>
      <c r="M10" s="14">
        <f>L10*IF(E10="",Parameters!$B$2,E10)</f>
        <v>1468703084.8618321</v>
      </c>
      <c r="N10" s="17">
        <f t="shared" si="2"/>
        <v>36864447.430031985</v>
      </c>
      <c r="O10" s="17">
        <f t="shared" si="3"/>
        <v>15634124.357694227</v>
      </c>
    </row>
    <row r="11" spans="1:15">
      <c r="A11" s="2">
        <v>10</v>
      </c>
      <c r="B11" s="2">
        <v>19000000</v>
      </c>
      <c r="C11" s="2">
        <v>1.929</v>
      </c>
      <c r="D11" s="2">
        <v>0.82</v>
      </c>
      <c r="E11" s="2">
        <v>1600</v>
      </c>
      <c r="F11" s="2">
        <f>IFERROR(B11*C11*IF(D11="", Parameters!$B$2, D11)/Parameters!$B$6, 0)</f>
        <v>966252.02951436327</v>
      </c>
      <c r="G11" s="13">
        <f>F11*IF(E11="", Parameters!$B$2, E11)</f>
        <v>1546003247.2229812</v>
      </c>
      <c r="H11" s="2">
        <f>G11*Parameters!$B$4</f>
        <v>40196084.427797511</v>
      </c>
      <c r="I11" s="2">
        <f>1/POWER(1+Parameters!$B$5, A11)</f>
        <v>0.38554328942953148</v>
      </c>
      <c r="J11" s="6">
        <f t="shared" si="0"/>
        <v>15497330.612480219</v>
      </c>
      <c r="K11" s="6">
        <f>SUM($G$2:G11)</f>
        <v>15460032472.229809</v>
      </c>
      <c r="L11">
        <f t="shared" si="1"/>
        <v>917939.42803864507</v>
      </c>
      <c r="M11" s="14">
        <f>L11*IF(E11="",Parameters!$B$2,E11)</f>
        <v>1468703084.8618321</v>
      </c>
      <c r="N11" s="17">
        <f t="shared" si="2"/>
        <v>36864447.430031985</v>
      </c>
      <c r="O11" s="17">
        <f t="shared" si="3"/>
        <v>14212840.325176569</v>
      </c>
    </row>
    <row r="12" spans="1:15">
      <c r="A12" s="2">
        <v>11</v>
      </c>
      <c r="B12" s="2">
        <v>19000000</v>
      </c>
      <c r="C12" s="2">
        <v>1.929</v>
      </c>
      <c r="D12" s="2">
        <v>0.82</v>
      </c>
      <c r="E12" s="2">
        <v>1600</v>
      </c>
      <c r="F12" s="2">
        <f>IFERROR(B12*C12*IF(D12="", Parameters!$B$2, D12)/Parameters!$B$6, 0)</f>
        <v>966252.02951436327</v>
      </c>
      <c r="G12" s="13">
        <f>F12*IF(E12="", Parameters!$B$2, E12)</f>
        <v>1546003247.2229812</v>
      </c>
      <c r="H12" s="2">
        <f>G12*Parameters!$B$4</f>
        <v>40196084.427797511</v>
      </c>
      <c r="I12" s="2">
        <f>1/POWER(1+Parameters!$B$5, A12)</f>
        <v>0.3504938994813922</v>
      </c>
      <c r="J12" s="6">
        <f t="shared" si="0"/>
        <v>14088482.374982016</v>
      </c>
      <c r="K12" s="6">
        <f>SUM($G$2:G12)</f>
        <v>17006035719.452789</v>
      </c>
      <c r="L12">
        <f t="shared" si="1"/>
        <v>917939.42803864507</v>
      </c>
      <c r="M12" s="14">
        <f>L12*IF(E12="",Parameters!$B$2,E12)</f>
        <v>1468703084.8618321</v>
      </c>
      <c r="N12" s="17">
        <f t="shared" si="2"/>
        <v>36864447.430031985</v>
      </c>
      <c r="O12" s="17">
        <f t="shared" si="3"/>
        <v>12920763.931978697</v>
      </c>
    </row>
    <row r="13" spans="1:15">
      <c r="A13" s="2">
        <v>12</v>
      </c>
      <c r="B13" s="2">
        <v>19000000</v>
      </c>
      <c r="C13" s="2">
        <v>1.929</v>
      </c>
      <c r="D13" s="2">
        <v>0.82</v>
      </c>
      <c r="E13" s="2">
        <v>1600</v>
      </c>
      <c r="F13" s="2">
        <f>IFERROR(B13*C13*IF(D13="", Parameters!$B$2, D13)/Parameters!$B$6, 0)</f>
        <v>966252.02951436327</v>
      </c>
      <c r="G13" s="13">
        <f>F13*IF(E13="", Parameters!$B$2, E13)</f>
        <v>1546003247.2229812</v>
      </c>
      <c r="H13" s="2">
        <f>G13*Parameters!$B$4</f>
        <v>40196084.427797511</v>
      </c>
      <c r="I13" s="2">
        <f>1/POWER(1+Parameters!$B$5, A13)</f>
        <v>0.31863081771035656</v>
      </c>
      <c r="J13" s="6">
        <f t="shared" si="0"/>
        <v>12807711.249983652</v>
      </c>
      <c r="K13" s="6">
        <f>SUM($G$2:G13)</f>
        <v>18552038966.67577</v>
      </c>
      <c r="L13">
        <f t="shared" si="1"/>
        <v>917939.42803864507</v>
      </c>
      <c r="M13" s="14">
        <f>L13*IF(E13="",Parameters!$B$2,E13)</f>
        <v>1468703084.8618321</v>
      </c>
      <c r="N13" s="17">
        <f t="shared" si="2"/>
        <v>36864447.430031985</v>
      </c>
      <c r="O13" s="17">
        <f t="shared" si="3"/>
        <v>11746149.029071543</v>
      </c>
    </row>
    <row r="14" spans="1:15">
      <c r="A14" s="2">
        <v>13</v>
      </c>
      <c r="B14" s="2">
        <v>19000000</v>
      </c>
      <c r="C14" s="2">
        <v>1.929</v>
      </c>
      <c r="D14" s="2">
        <v>0.82</v>
      </c>
      <c r="E14" s="2">
        <v>1600</v>
      </c>
      <c r="F14" s="2">
        <f>IFERROR(B14*C14*IF(D14="", Parameters!$B$2, D14)/Parameters!$B$6, 0)</f>
        <v>966252.02951436327</v>
      </c>
      <c r="G14" s="13">
        <f>F14*IF(E14="", Parameters!$B$2, E14)</f>
        <v>1546003247.2229812</v>
      </c>
      <c r="H14" s="2">
        <f>G14*Parameters!$B$4</f>
        <v>40196084.427797511</v>
      </c>
      <c r="I14" s="2">
        <f>1/POWER(1+Parameters!$B$5, A14)</f>
        <v>0.28966437973668779</v>
      </c>
      <c r="J14" s="6">
        <f t="shared" si="0"/>
        <v>11643373.863621501</v>
      </c>
      <c r="K14" s="6">
        <f>SUM($G$2:G14)</f>
        <v>20098042213.89875</v>
      </c>
      <c r="L14">
        <f t="shared" si="1"/>
        <v>917939.42803864507</v>
      </c>
      <c r="M14" s="14">
        <f>L14*IF(E14="",Parameters!$B$2,E14)</f>
        <v>1468703084.8618321</v>
      </c>
      <c r="N14" s="17">
        <f t="shared" si="2"/>
        <v>36864447.430031985</v>
      </c>
      <c r="O14" s="17">
        <f t="shared" si="3"/>
        <v>10678317.299155949</v>
      </c>
    </row>
    <row r="15" spans="1:15">
      <c r="A15" s="2">
        <v>14</v>
      </c>
      <c r="B15" s="2">
        <v>19000000</v>
      </c>
      <c r="C15" s="2">
        <v>1.929</v>
      </c>
      <c r="D15" s="2">
        <v>0.82</v>
      </c>
      <c r="E15" s="2">
        <v>1600</v>
      </c>
      <c r="F15" s="2">
        <f>IFERROR(B15*C15*IF(D15="", Parameters!$B$2, D15)/Parameters!$B$6, 0)</f>
        <v>966252.02951436327</v>
      </c>
      <c r="G15" s="13">
        <f>F15*IF(E15="", Parameters!$B$2, E15)</f>
        <v>1546003247.2229812</v>
      </c>
      <c r="H15" s="2">
        <f>G15*Parameters!$B$4</f>
        <v>40196084.427797511</v>
      </c>
      <c r="I15" s="2">
        <f>1/POWER(1+Parameters!$B$5, A15)</f>
        <v>0.26333125430607973</v>
      </c>
      <c r="J15" s="6">
        <f t="shared" si="0"/>
        <v>10584885.330564998</v>
      </c>
      <c r="K15" s="6">
        <f>SUM($G$2:G15)</f>
        <v>21644045461.121731</v>
      </c>
      <c r="L15">
        <f t="shared" si="1"/>
        <v>917939.42803864507</v>
      </c>
      <c r="M15" s="14">
        <f>L15*IF(E15="",Parameters!$B$2,E15)</f>
        <v>1468703084.8618321</v>
      </c>
      <c r="N15" s="17">
        <f t="shared" si="2"/>
        <v>36864447.430031985</v>
      </c>
      <c r="O15" s="17">
        <f t="shared" si="3"/>
        <v>9707561.1810508594</v>
      </c>
    </row>
    <row r="16" spans="1:15">
      <c r="A16" s="2">
        <v>15</v>
      </c>
      <c r="B16" s="2">
        <v>19000000</v>
      </c>
      <c r="C16" s="2">
        <v>1.929</v>
      </c>
      <c r="D16" s="2">
        <v>0.82</v>
      </c>
      <c r="E16" s="2">
        <v>1600</v>
      </c>
      <c r="F16" s="2">
        <f>IFERROR(B16*C16*IF(D16="", Parameters!$B$2, D16)/Parameters!$B$6, 0)</f>
        <v>966252.02951436327</v>
      </c>
      <c r="G16" s="13">
        <f>F16*IF(E16="", Parameters!$B$2, E16)</f>
        <v>1546003247.2229812</v>
      </c>
      <c r="H16" s="2">
        <f>G16*Parameters!$B$4</f>
        <v>40196084.427797511</v>
      </c>
      <c r="I16" s="2">
        <f>1/POWER(1+Parameters!$B$5, A16)</f>
        <v>0.23939204936916339</v>
      </c>
      <c r="J16" s="6">
        <f t="shared" si="0"/>
        <v>9622623.0277863611</v>
      </c>
      <c r="K16" s="6">
        <f>SUM($G$2:G16)</f>
        <v>23190048708.344711</v>
      </c>
      <c r="L16">
        <f t="shared" si="1"/>
        <v>917939.42803864507</v>
      </c>
      <c r="M16" s="14">
        <f>L16*IF(E16="",Parameters!$B$2,E16)</f>
        <v>1468703084.8618321</v>
      </c>
      <c r="N16" s="17">
        <f t="shared" si="2"/>
        <v>36864447.430031985</v>
      </c>
      <c r="O16" s="17">
        <f t="shared" si="3"/>
        <v>8825055.6191371456</v>
      </c>
    </row>
    <row r="17" spans="1:15">
      <c r="A17" s="2">
        <v>16</v>
      </c>
      <c r="B17" s="2">
        <v>19000000</v>
      </c>
      <c r="C17" s="2">
        <v>1.929</v>
      </c>
      <c r="D17" s="2">
        <v>0.82</v>
      </c>
      <c r="E17" s="2">
        <v>1600</v>
      </c>
      <c r="F17" s="2">
        <f>IFERROR(B17*C17*IF(D17="", Parameters!$B$2, D17)/Parameters!$B$6, 0)</f>
        <v>966252.02951436327</v>
      </c>
      <c r="G17" s="13">
        <f>F17*IF(E17="", Parameters!$B$2, E17)</f>
        <v>1546003247.2229812</v>
      </c>
      <c r="H17" s="2">
        <f>G17*Parameters!$B$4</f>
        <v>40196084.427797511</v>
      </c>
      <c r="I17" s="2">
        <f>1/POWER(1+Parameters!$B$5, A17)</f>
        <v>0.21762913579014853</v>
      </c>
      <c r="J17" s="6">
        <f t="shared" si="0"/>
        <v>8747839.1161694191</v>
      </c>
      <c r="K17" s="6">
        <f>SUM($G$2:G17)</f>
        <v>24736051955.567692</v>
      </c>
      <c r="L17">
        <f t="shared" si="1"/>
        <v>917939.42803864507</v>
      </c>
      <c r="M17" s="14">
        <f>L17*IF(E17="",Parameters!$B$2,E17)</f>
        <v>1468703084.8618321</v>
      </c>
      <c r="N17" s="17">
        <f t="shared" si="2"/>
        <v>36864447.430031985</v>
      </c>
      <c r="O17" s="17">
        <f t="shared" si="3"/>
        <v>8022777.835579223</v>
      </c>
    </row>
    <row r="18" spans="1:15">
      <c r="A18" s="2">
        <v>17</v>
      </c>
      <c r="B18" s="2">
        <v>19000000</v>
      </c>
      <c r="C18" s="2">
        <v>1.929</v>
      </c>
      <c r="D18" s="2">
        <v>0.82</v>
      </c>
      <c r="E18" s="2">
        <v>1600</v>
      </c>
      <c r="F18" s="2">
        <f>IFERROR(B18*C18*IF(D18="", Parameters!$B$2, D18)/Parameters!$B$6, 0)</f>
        <v>966252.02951436327</v>
      </c>
      <c r="G18" s="13">
        <f>F18*IF(E18="", Parameters!$B$2, E18)</f>
        <v>1546003247.2229812</v>
      </c>
      <c r="H18" s="2">
        <f>G18*Parameters!$B$4</f>
        <v>40196084.427797511</v>
      </c>
      <c r="I18" s="2">
        <f>1/POWER(1+Parameters!$B$5, A18)</f>
        <v>0.19784466890013502</v>
      </c>
      <c r="J18" s="6">
        <f t="shared" si="0"/>
        <v>7952581.0146994721</v>
      </c>
      <c r="K18" s="6">
        <f>SUM($G$2:G18)</f>
        <v>26282055202.790672</v>
      </c>
      <c r="L18">
        <f t="shared" si="1"/>
        <v>917939.42803864507</v>
      </c>
      <c r="M18" s="14">
        <f>L18*IF(E18="",Parameters!$B$2,E18)</f>
        <v>1468703084.8618321</v>
      </c>
      <c r="N18" s="17">
        <f t="shared" si="2"/>
        <v>36864447.430031985</v>
      </c>
      <c r="O18" s="17">
        <f t="shared" si="3"/>
        <v>7293434.3959811116</v>
      </c>
    </row>
    <row r="19" spans="1:15">
      <c r="A19" s="2">
        <v>18</v>
      </c>
      <c r="B19" s="2">
        <v>19000000</v>
      </c>
      <c r="C19" s="2">
        <v>1.929</v>
      </c>
      <c r="D19" s="2">
        <v>0.82</v>
      </c>
      <c r="E19" s="2">
        <v>1600</v>
      </c>
      <c r="F19" s="2">
        <f>IFERROR(B19*C19*IF(D19="", Parameters!$B$2, D19)/Parameters!$B$6, 0)</f>
        <v>966252.02951436327</v>
      </c>
      <c r="G19" s="13">
        <f>F19*IF(E19="", Parameters!$B$2, E19)</f>
        <v>1546003247.2229812</v>
      </c>
      <c r="H19" s="2">
        <f>G19*Parameters!$B$4</f>
        <v>40196084.427797511</v>
      </c>
      <c r="I19" s="2">
        <f>1/POWER(1+Parameters!$B$5, A19)</f>
        <v>0.17985878990921364</v>
      </c>
      <c r="J19" s="6">
        <f t="shared" si="0"/>
        <v>7229619.1042722464</v>
      </c>
      <c r="K19" s="6">
        <f>SUM($G$2:G19)</f>
        <v>27828058450.013653</v>
      </c>
      <c r="L19">
        <f t="shared" si="1"/>
        <v>917939.42803864507</v>
      </c>
      <c r="M19" s="14">
        <f>L19*IF(E19="",Parameters!$B$2,E19)</f>
        <v>1468703084.8618321</v>
      </c>
      <c r="N19" s="17">
        <f t="shared" si="2"/>
        <v>36864447.430031985</v>
      </c>
      <c r="O19" s="17">
        <f t="shared" si="3"/>
        <v>6630394.9054373736</v>
      </c>
    </row>
    <row r="20" spans="1:15">
      <c r="A20" s="2">
        <v>19</v>
      </c>
      <c r="B20" s="2">
        <v>19000000</v>
      </c>
      <c r="C20" s="2">
        <v>1.929</v>
      </c>
      <c r="D20" s="2">
        <v>0.82</v>
      </c>
      <c r="E20" s="2">
        <v>1600</v>
      </c>
      <c r="F20" s="2">
        <f>IFERROR(B20*C20*IF(D20="", Parameters!$B$2, D20)/Parameters!$B$6, 0)</f>
        <v>966252.02951436327</v>
      </c>
      <c r="G20" s="13">
        <f>F20*IF(E20="", Parameters!$B$2, E20)</f>
        <v>1546003247.2229812</v>
      </c>
      <c r="H20" s="2">
        <f>G20*Parameters!$B$4</f>
        <v>40196084.427797511</v>
      </c>
      <c r="I20" s="2">
        <f>1/POWER(1+Parameters!$B$5, A20)</f>
        <v>0.16350799082655781</v>
      </c>
      <c r="J20" s="6">
        <f t="shared" si="0"/>
        <v>6572381.0038838591</v>
      </c>
      <c r="K20" s="6">
        <f>SUM($G$2:G20)</f>
        <v>29374061697.236633</v>
      </c>
      <c r="L20">
        <f t="shared" si="1"/>
        <v>917939.42803864507</v>
      </c>
      <c r="M20" s="14">
        <f>L20*IF(E20="",Parameters!$B$2,E20)</f>
        <v>1468703084.8618321</v>
      </c>
      <c r="N20" s="17">
        <f t="shared" si="2"/>
        <v>36864447.430031985</v>
      </c>
      <c r="O20" s="17">
        <f t="shared" si="3"/>
        <v>6027631.7322157929</v>
      </c>
    </row>
    <row r="21" spans="1:15">
      <c r="A21" s="2">
        <v>20</v>
      </c>
      <c r="B21" s="2">
        <v>19000000</v>
      </c>
      <c r="C21" s="2">
        <v>1.929</v>
      </c>
      <c r="D21" s="2">
        <v>0.82</v>
      </c>
      <c r="E21" s="2">
        <v>1600</v>
      </c>
      <c r="F21" s="2">
        <f>IFERROR(B21*C21*IF(D21="", Parameters!$B$2, D21)/Parameters!$B$6, 0)</f>
        <v>966252.02951436327</v>
      </c>
      <c r="G21" s="13">
        <f>F21*IF(E21="", Parameters!$B$2, E21)</f>
        <v>1546003247.2229812</v>
      </c>
      <c r="H21" s="2">
        <f>G21*Parameters!$B$4</f>
        <v>40196084.427797511</v>
      </c>
      <c r="I21" s="2">
        <f>1/POWER(1+Parameters!$B$5, A21)</f>
        <v>0.14864362802414349</v>
      </c>
      <c r="J21" s="6">
        <f t="shared" si="0"/>
        <v>5974891.8217126001</v>
      </c>
      <c r="K21" s="6">
        <f>SUM($G$2:G21)</f>
        <v>30920064944.459614</v>
      </c>
      <c r="L21">
        <f t="shared" si="1"/>
        <v>917939.42803864507</v>
      </c>
      <c r="M21" s="14">
        <f>L21*IF(E21="",Parameters!$B$2,E21)</f>
        <v>1468703084.8618321</v>
      </c>
      <c r="N21" s="17">
        <f t="shared" si="2"/>
        <v>36864447.430031985</v>
      </c>
      <c r="O21" s="17">
        <f t="shared" si="3"/>
        <v>5479665.2111052666</v>
      </c>
    </row>
    <row r="22" spans="1:15">
      <c r="A22" s="2">
        <v>21</v>
      </c>
      <c r="B22" s="2">
        <v>19000000</v>
      </c>
      <c r="C22" s="2">
        <v>1.929</v>
      </c>
      <c r="D22" s="2">
        <v>0.82</v>
      </c>
      <c r="E22" s="2">
        <v>1600</v>
      </c>
      <c r="F22" s="2">
        <f>IFERROR(B22*C22*IF(D22="", Parameters!$B$2, D22)/Parameters!$B$6, 0)</f>
        <v>966252.02951436327</v>
      </c>
      <c r="G22" s="13">
        <f>F22*IF(E22="", Parameters!$B$2, E22)</f>
        <v>1546003247.2229812</v>
      </c>
      <c r="H22" s="2">
        <f>G22*Parameters!$B$4</f>
        <v>40196084.427797511</v>
      </c>
      <c r="I22" s="2">
        <f>1/POWER(1+Parameters!$B$5, A22)</f>
        <v>0.13513057093103953</v>
      </c>
      <c r="J22" s="6">
        <f t="shared" si="0"/>
        <v>5431719.8379205447</v>
      </c>
      <c r="K22" s="6">
        <f>SUM($G$2:G22)</f>
        <v>32466068191.682594</v>
      </c>
      <c r="L22">
        <f t="shared" si="1"/>
        <v>917939.42803864507</v>
      </c>
      <c r="M22" s="14">
        <f>L22*IF(E22="",Parameters!$B$2,E22)</f>
        <v>1468703084.8618321</v>
      </c>
      <c r="N22" s="17">
        <f t="shared" si="2"/>
        <v>36864447.430031985</v>
      </c>
      <c r="O22" s="17">
        <f t="shared" si="3"/>
        <v>4981513.8282775152</v>
      </c>
    </row>
    <row r="23" spans="1:15">
      <c r="A23" s="2">
        <v>22</v>
      </c>
      <c r="B23" s="2">
        <v>19000000</v>
      </c>
      <c r="C23" s="2">
        <v>1.929</v>
      </c>
      <c r="D23" s="2">
        <v>0.82</v>
      </c>
      <c r="E23" s="2">
        <v>1600</v>
      </c>
      <c r="F23" s="2">
        <f>IFERROR(B23*C23*IF(D23="", Parameters!$B$2, D23)/Parameters!$B$6, 0)</f>
        <v>966252.02951436327</v>
      </c>
      <c r="G23" s="13">
        <f>F23*IF(E23="", Parameters!$B$2, E23)</f>
        <v>1546003247.2229812</v>
      </c>
      <c r="H23" s="2">
        <f>G23*Parameters!$B$4</f>
        <v>40196084.427797511</v>
      </c>
      <c r="I23" s="2">
        <f>1/POWER(1+Parameters!$B$5, A23)</f>
        <v>0.12284597357367227</v>
      </c>
      <c r="J23" s="6">
        <f t="shared" si="0"/>
        <v>4937927.1253823126</v>
      </c>
      <c r="K23" s="6">
        <f>SUM($G$2:G23)</f>
        <v>34012071438.905575</v>
      </c>
      <c r="L23">
        <f t="shared" si="1"/>
        <v>917939.42803864507</v>
      </c>
      <c r="M23" s="14">
        <f>L23*IF(E23="",Parameters!$B$2,E23)</f>
        <v>1468703084.8618321</v>
      </c>
      <c r="N23" s="17">
        <f t="shared" si="2"/>
        <v>36864447.430031985</v>
      </c>
      <c r="O23" s="17">
        <f t="shared" si="3"/>
        <v>4528648.9347977396</v>
      </c>
    </row>
    <row r="24" spans="1:15">
      <c r="A24" s="2">
        <v>23</v>
      </c>
      <c r="B24" s="2">
        <v>19000000</v>
      </c>
      <c r="C24" s="2">
        <v>1.929</v>
      </c>
      <c r="D24" s="2">
        <v>0.82</v>
      </c>
      <c r="E24" s="2">
        <v>1600</v>
      </c>
      <c r="F24" s="2">
        <f>IFERROR(B24*C24*IF(D24="", Parameters!$B$2, D24)/Parameters!$B$6, 0)</f>
        <v>966252.02951436327</v>
      </c>
      <c r="G24" s="13">
        <f>F24*IF(E24="", Parameters!$B$2, E24)</f>
        <v>1546003247.2229812</v>
      </c>
      <c r="H24" s="2">
        <f>G24*Parameters!$B$4</f>
        <v>40196084.427797511</v>
      </c>
      <c r="I24" s="2">
        <f>1/POWER(1+Parameters!$B$5, A24)</f>
        <v>0.11167815779424752</v>
      </c>
      <c r="J24" s="6">
        <f t="shared" si="0"/>
        <v>4489024.6594384657</v>
      </c>
      <c r="K24" s="6">
        <f>SUM($G$2:G24)</f>
        <v>35558074686.128555</v>
      </c>
      <c r="L24">
        <f t="shared" si="1"/>
        <v>917939.42803864507</v>
      </c>
      <c r="M24" s="14">
        <f>L24*IF(E24="",Parameters!$B$2,E24)</f>
        <v>1468703084.8618321</v>
      </c>
      <c r="N24" s="17">
        <f t="shared" si="2"/>
        <v>36864447.430031985</v>
      </c>
      <c r="O24" s="17">
        <f t="shared" si="3"/>
        <v>4116953.5770888543</v>
      </c>
    </row>
    <row r="25" spans="1:15">
      <c r="A25" s="2">
        <v>24</v>
      </c>
      <c r="B25" s="2">
        <v>19000000</v>
      </c>
      <c r="C25" s="2">
        <v>1.929</v>
      </c>
      <c r="D25" s="2">
        <v>0.82</v>
      </c>
      <c r="E25" s="2">
        <v>1600</v>
      </c>
      <c r="F25" s="2">
        <f>IFERROR(B25*C25*IF(D25="", Parameters!$B$2, D25)/Parameters!$B$6, 0)</f>
        <v>966252.02951436327</v>
      </c>
      <c r="G25" s="13">
        <f>F25*IF(E25="", Parameters!$B$2, E25)</f>
        <v>1546003247.2229812</v>
      </c>
      <c r="H25" s="2">
        <f>G25*Parameters!$B$4</f>
        <v>40196084.427797511</v>
      </c>
      <c r="I25" s="2">
        <f>1/POWER(1+Parameters!$B$5, A25)</f>
        <v>0.10152559799477048</v>
      </c>
      <c r="J25" s="6">
        <f t="shared" si="0"/>
        <v>4080931.5085804239</v>
      </c>
      <c r="K25" s="6">
        <f>SUM($G$2:G25)</f>
        <v>37104077933.35154</v>
      </c>
      <c r="L25">
        <f t="shared" si="1"/>
        <v>917939.42803864507</v>
      </c>
      <c r="M25" s="14">
        <f>L25*IF(E25="",Parameters!$B$2,E25)</f>
        <v>1468703084.8618321</v>
      </c>
      <c r="N25" s="17">
        <f t="shared" si="2"/>
        <v>36864447.430031985</v>
      </c>
      <c r="O25" s="17">
        <f t="shared" si="3"/>
        <v>3742685.0700807772</v>
      </c>
    </row>
    <row r="26" spans="1:15">
      <c r="A26" s="2">
        <v>25</v>
      </c>
      <c r="B26" s="2">
        <v>19000000</v>
      </c>
      <c r="C26" s="2">
        <v>1.929</v>
      </c>
      <c r="D26" s="2">
        <v>0.82</v>
      </c>
      <c r="E26" s="2">
        <v>1600</v>
      </c>
      <c r="F26" s="2">
        <f>IFERROR(B26*C26*IF(D26="", Parameters!$B$2, D26)/Parameters!$B$6, 0)</f>
        <v>966252.02951436327</v>
      </c>
      <c r="G26" s="13">
        <f>F26*IF(E26="", Parameters!$B$2, E26)</f>
        <v>1546003247.2229812</v>
      </c>
      <c r="H26" s="2">
        <f>G26*Parameters!$B$4</f>
        <v>40196084.427797511</v>
      </c>
      <c r="I26" s="2">
        <f>1/POWER(1+Parameters!$B$5, A26)</f>
        <v>9.2295998177064048E-2</v>
      </c>
      <c r="J26" s="6">
        <f t="shared" si="0"/>
        <v>3709937.7350731115</v>
      </c>
      <c r="K26" s="6">
        <f>SUM($G$2:G26)</f>
        <v>38650081180.574524</v>
      </c>
      <c r="L26">
        <f t="shared" si="1"/>
        <v>917939.42803864507</v>
      </c>
      <c r="M26" s="14">
        <f>L26*IF(E26="",Parameters!$B$2,E26)</f>
        <v>1468703084.8618321</v>
      </c>
      <c r="N26" s="17">
        <f t="shared" si="2"/>
        <v>36864447.430031985</v>
      </c>
      <c r="O26" s="17">
        <f t="shared" si="3"/>
        <v>3402440.9728007056</v>
      </c>
    </row>
    <row r="27" spans="1:15">
      <c r="A27" s="2">
        <v>26</v>
      </c>
      <c r="B27" s="2">
        <v>19000000</v>
      </c>
      <c r="C27" s="2">
        <v>1.929</v>
      </c>
      <c r="D27" s="2">
        <v>0.82</v>
      </c>
      <c r="E27" s="2">
        <v>1600</v>
      </c>
      <c r="F27" s="2">
        <f>IFERROR(B27*C27*IF(D27="", Parameters!$B$2, D27)/Parameters!$B$6, 0)</f>
        <v>966252.02951436327</v>
      </c>
      <c r="G27" s="13">
        <f>F27*IF(E27="", Parameters!$B$2, E27)</f>
        <v>1546003247.2229812</v>
      </c>
      <c r="H27" s="2">
        <f>G27*Parameters!$B$4</f>
        <v>40196084.427797511</v>
      </c>
      <c r="I27" s="2">
        <f>1/POWER(1+Parameters!$B$5, A27)</f>
        <v>8.3905452888240042E-2</v>
      </c>
      <c r="J27" s="6">
        <f t="shared" si="0"/>
        <v>3372670.6682482832</v>
      </c>
      <c r="K27" s="6">
        <f>SUM($G$2:G27)</f>
        <v>40196084427.797508</v>
      </c>
      <c r="L27">
        <f t="shared" si="1"/>
        <v>917939.42803864507</v>
      </c>
      <c r="M27" s="14">
        <f>L27*IF(E27="",Parameters!$B$2,E27)</f>
        <v>1468703084.8618321</v>
      </c>
      <c r="N27" s="17">
        <f t="shared" si="2"/>
        <v>36864447.430031985</v>
      </c>
      <c r="O27" s="17">
        <f t="shared" si="3"/>
        <v>3093128.1570915505</v>
      </c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40196084427.797508</v>
      </c>
      <c r="H39">
        <f>SUM(H2:H33)</f>
        <v>1045098195.1227357</v>
      </c>
      <c r="J39" s="11">
        <f>SUM(J2:J27)</f>
        <v>368234137.59549195</v>
      </c>
      <c r="O39" s="11">
        <f>SUM(O2:O27)</f>
        <v>337713192.72940421</v>
      </c>
    </row>
    <row r="40" spans="1:15">
      <c r="F40" s="3" t="s">
        <v>16</v>
      </c>
      <c r="G40" s="10">
        <f>G39</f>
        <v>40196084427.797508</v>
      </c>
    </row>
    <row r="41" spans="1:15">
      <c r="F41" s="3" t="s">
        <v>17</v>
      </c>
      <c r="G41" s="10">
        <f>H39</f>
        <v>1045098195.1227357</v>
      </c>
    </row>
    <row r="42" spans="1:15">
      <c r="F42" s="3" t="s">
        <v>9</v>
      </c>
      <c r="G42" s="10">
        <f>J39</f>
        <v>368234137.59549195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B168-C3ED-46EF-81F3-D68A124B8E86}">
  <sheetPr codeName="Sheet10"/>
  <dimension ref="A1:O42"/>
  <sheetViews>
    <sheetView topLeftCell="A9" workbookViewId="0">
      <pane xSplit="1" topLeftCell="E1" activePane="topRight" state="frozen"/>
      <selection pane="topRight" activeCell="M39" sqref="M39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16000000</v>
      </c>
      <c r="C2" s="2">
        <v>1.9810000000000001</v>
      </c>
      <c r="D2" s="2">
        <v>0.82</v>
      </c>
      <c r="E2" s="2">
        <v>1600</v>
      </c>
      <c r="F2" s="2">
        <f>IFERROR(B2*C2*IF(D2="", Parameters!$B$2, D2)/Parameters!$B$6, 0)</f>
        <v>835620.42856913211</v>
      </c>
      <c r="G2" s="13">
        <f>F2*IF(E2="", Parameters!$B$2, E2)</f>
        <v>1336992685.7106113</v>
      </c>
      <c r="H2" s="2">
        <f>G2*Parameters!$B$4</f>
        <v>34761809.828475893</v>
      </c>
      <c r="I2" s="2">
        <f>1/POWER(1+Parameters!$B$5, A2)</f>
        <v>0.90909090909090906</v>
      </c>
      <c r="J2" s="6">
        <f t="shared" ref="J2:J33" si="0">H2*I2</f>
        <v>31601645.298614446</v>
      </c>
      <c r="K2" s="6">
        <f>SUM($G$2:G2)</f>
        <v>1336992685.7106113</v>
      </c>
      <c r="L2">
        <f>F2*0.95</f>
        <v>793839.40714067547</v>
      </c>
      <c r="M2" s="14">
        <f>L2*IF(E2="",Parameters!$B$2,E2)</f>
        <v>1270143051.4250808</v>
      </c>
      <c r="N2" s="17">
        <f>M2*0.0251</f>
        <v>31880590.590769529</v>
      </c>
      <c r="O2" s="17">
        <f>N2*I2</f>
        <v>28982355.082517754</v>
      </c>
    </row>
    <row r="3" spans="1:15">
      <c r="A3" s="2">
        <v>2</v>
      </c>
      <c r="B3" s="2">
        <v>16000000</v>
      </c>
      <c r="C3" s="2">
        <v>1.9810000000000001</v>
      </c>
      <c r="D3" s="2">
        <v>0.82</v>
      </c>
      <c r="E3" s="2">
        <v>1600</v>
      </c>
      <c r="F3" s="2">
        <f>IFERROR(B3*C3*IF(D3="", Parameters!$B$2, D3)/Parameters!$B$6, 0)</f>
        <v>835620.42856913211</v>
      </c>
      <c r="G3" s="13">
        <f>F3*IF(E3="", Parameters!$B$2, E3)</f>
        <v>1336992685.7106113</v>
      </c>
      <c r="H3" s="2">
        <f>G3*Parameters!$B$4</f>
        <v>34761809.828475893</v>
      </c>
      <c r="I3" s="2">
        <f>1/POWER(1+Parameters!$B$5, A3)</f>
        <v>0.82644628099173545</v>
      </c>
      <c r="J3" s="6">
        <f t="shared" si="0"/>
        <v>28728768.453285858</v>
      </c>
      <c r="K3" s="6">
        <f>SUM($G$2:G3)</f>
        <v>2673985371.4212227</v>
      </c>
      <c r="L3">
        <f t="shared" ref="L3:L33" si="1">F3*0.95</f>
        <v>793839.40714067547</v>
      </c>
      <c r="M3" s="14">
        <f>L3*IF(E3="",Parameters!$B$2,E3)</f>
        <v>1270143051.4250808</v>
      </c>
      <c r="N3" s="17">
        <f t="shared" ref="N3:N29" si="2">M3*0.0251</f>
        <v>31880590.590769529</v>
      </c>
      <c r="O3" s="17">
        <f t="shared" ref="O3:O27" si="3">N3*I3</f>
        <v>26347595.52956159</v>
      </c>
    </row>
    <row r="4" spans="1:15">
      <c r="A4" s="2">
        <v>3</v>
      </c>
      <c r="B4" s="2">
        <v>16000000</v>
      </c>
      <c r="C4" s="2">
        <v>1.9810000000000001</v>
      </c>
      <c r="D4" s="2">
        <v>0.82</v>
      </c>
      <c r="E4" s="2">
        <v>1600</v>
      </c>
      <c r="F4" s="2">
        <f>IFERROR(B4*C4*IF(D4="", Parameters!$B$2, D4)/Parameters!$B$6, 0)</f>
        <v>835620.42856913211</v>
      </c>
      <c r="G4" s="13">
        <f>F4*IF(E4="", Parameters!$B$2, E4)</f>
        <v>1336992685.7106113</v>
      </c>
      <c r="H4" s="2">
        <f>G4*Parameters!$B$4</f>
        <v>34761809.828475893</v>
      </c>
      <c r="I4" s="2">
        <f>1/POWER(1+Parameters!$B$5, A4)</f>
        <v>0.75131480090157754</v>
      </c>
      <c r="J4" s="6">
        <f t="shared" si="0"/>
        <v>26117062.230259866</v>
      </c>
      <c r="K4" s="6">
        <f>SUM($G$2:G4)</f>
        <v>4010978057.131834</v>
      </c>
      <c r="L4">
        <f t="shared" si="1"/>
        <v>793839.40714067547</v>
      </c>
      <c r="M4" s="14">
        <f>L4*IF(E4="",Parameters!$B$2,E4)</f>
        <v>1270143051.4250808</v>
      </c>
      <c r="N4" s="17">
        <f t="shared" si="2"/>
        <v>31880590.590769529</v>
      </c>
      <c r="O4" s="17">
        <f t="shared" si="3"/>
        <v>23952359.572328717</v>
      </c>
    </row>
    <row r="5" spans="1:15">
      <c r="A5" s="2">
        <v>4</v>
      </c>
      <c r="B5" s="2">
        <v>16000000</v>
      </c>
      <c r="C5" s="2">
        <v>1.9810000000000001</v>
      </c>
      <c r="D5" s="2">
        <v>0.82</v>
      </c>
      <c r="E5" s="2">
        <v>1600</v>
      </c>
      <c r="F5" s="2">
        <f>IFERROR(B5*C5*IF(D5="", Parameters!$B$2, D5)/Parameters!$B$6, 0)</f>
        <v>835620.42856913211</v>
      </c>
      <c r="G5" s="13">
        <f>F5*IF(E5="", Parameters!$B$2, E5)</f>
        <v>1336992685.7106113</v>
      </c>
      <c r="H5" s="2">
        <f>G5*Parameters!$B$4</f>
        <v>34761809.828475893</v>
      </c>
      <c r="I5" s="2">
        <f>1/POWER(1+Parameters!$B$5, A5)</f>
        <v>0.68301345536507052</v>
      </c>
      <c r="J5" s="6">
        <f t="shared" si="0"/>
        <v>23742783.845690791</v>
      </c>
      <c r="K5" s="6">
        <f>SUM($G$2:G5)</f>
        <v>5347970742.8424454</v>
      </c>
      <c r="L5">
        <f t="shared" si="1"/>
        <v>793839.40714067547</v>
      </c>
      <c r="M5" s="14">
        <f>L5*IF(E5="",Parameters!$B$2,E5)</f>
        <v>1270143051.4250808</v>
      </c>
      <c r="N5" s="17">
        <f t="shared" si="2"/>
        <v>31880590.590769529</v>
      </c>
      <c r="O5" s="17">
        <f t="shared" si="3"/>
        <v>21774872.338480651</v>
      </c>
    </row>
    <row r="6" spans="1:15">
      <c r="A6" s="2">
        <v>5</v>
      </c>
      <c r="B6" s="2">
        <v>16000000</v>
      </c>
      <c r="C6" s="2">
        <v>1.9810000000000001</v>
      </c>
      <c r="D6" s="2">
        <v>0.82</v>
      </c>
      <c r="E6" s="2">
        <v>1600</v>
      </c>
      <c r="F6" s="2">
        <f>IFERROR(B6*C6*IF(D6="", Parameters!$B$2, D6)/Parameters!$B$6, 0)</f>
        <v>835620.42856913211</v>
      </c>
      <c r="G6" s="13">
        <f>F6*IF(E6="", Parameters!$B$2, E6)</f>
        <v>1336992685.7106113</v>
      </c>
      <c r="H6" s="2">
        <f>G6*Parameters!$B$4</f>
        <v>34761809.828475893</v>
      </c>
      <c r="I6" s="2">
        <f>1/POWER(1+Parameters!$B$5, A6)</f>
        <v>0.62092132305915493</v>
      </c>
      <c r="J6" s="6">
        <f t="shared" si="0"/>
        <v>21584348.950627986</v>
      </c>
      <c r="K6" s="6">
        <f>SUM($G$2:G6)</f>
        <v>6684963428.5530567</v>
      </c>
      <c r="L6">
        <f t="shared" si="1"/>
        <v>793839.40714067547</v>
      </c>
      <c r="M6" s="14">
        <f>L6*IF(E6="",Parameters!$B$2,E6)</f>
        <v>1270143051.4250808</v>
      </c>
      <c r="N6" s="17">
        <f t="shared" si="2"/>
        <v>31880590.590769529</v>
      </c>
      <c r="O6" s="17">
        <f t="shared" si="3"/>
        <v>19795338.489527863</v>
      </c>
    </row>
    <row r="7" spans="1:15">
      <c r="A7" s="2">
        <v>6</v>
      </c>
      <c r="B7" s="2">
        <v>16000000</v>
      </c>
      <c r="C7" s="2">
        <v>1.9810000000000001</v>
      </c>
      <c r="D7" s="2">
        <v>0.82</v>
      </c>
      <c r="E7" s="2">
        <v>1600</v>
      </c>
      <c r="F7" s="2">
        <f>IFERROR(B7*C7*IF(D7="", Parameters!$B$2, D7)/Parameters!$B$6, 0)</f>
        <v>835620.42856913211</v>
      </c>
      <c r="G7" s="13">
        <f>F7*IF(E7="", Parameters!$B$2, E7)</f>
        <v>1336992685.7106113</v>
      </c>
      <c r="H7" s="2">
        <f>G7*Parameters!$B$4</f>
        <v>34761809.828475893</v>
      </c>
      <c r="I7" s="2">
        <f>1/POWER(1+Parameters!$B$5, A7)</f>
        <v>0.56447393005377722</v>
      </c>
      <c r="J7" s="6">
        <f t="shared" si="0"/>
        <v>19622135.409661807</v>
      </c>
      <c r="K7" s="6">
        <f>SUM($G$2:G7)</f>
        <v>8021956114.2636681</v>
      </c>
      <c r="L7">
        <f t="shared" si="1"/>
        <v>793839.40714067547</v>
      </c>
      <c r="M7" s="14">
        <f>L7*IF(E7="",Parameters!$B$2,E7)</f>
        <v>1270143051.4250808</v>
      </c>
      <c r="N7" s="17">
        <f t="shared" si="2"/>
        <v>31880590.590769529</v>
      </c>
      <c r="O7" s="17">
        <f t="shared" si="3"/>
        <v>17995762.263207149</v>
      </c>
    </row>
    <row r="8" spans="1:15">
      <c r="A8" s="2">
        <v>7</v>
      </c>
      <c r="B8" s="2">
        <v>16000000</v>
      </c>
      <c r="C8" s="2">
        <v>1.9810000000000001</v>
      </c>
      <c r="D8" s="2">
        <v>0.82</v>
      </c>
      <c r="E8" s="2">
        <v>1600</v>
      </c>
      <c r="F8" s="2">
        <f>IFERROR(B8*C8*IF(D8="", Parameters!$B$2, D8)/Parameters!$B$6, 0)</f>
        <v>835620.42856913211</v>
      </c>
      <c r="G8" s="13">
        <f>F8*IF(E8="", Parameters!$B$2, E8)</f>
        <v>1336992685.7106113</v>
      </c>
      <c r="H8" s="2">
        <f>G8*Parameters!$B$4</f>
        <v>34761809.828475893</v>
      </c>
      <c r="I8" s="2">
        <f>1/POWER(1+Parameters!$B$5, A8)</f>
        <v>0.51315811823070645</v>
      </c>
      <c r="J8" s="6">
        <f t="shared" si="0"/>
        <v>17838304.917874366</v>
      </c>
      <c r="K8" s="6">
        <f>SUM($G$2:G8)</f>
        <v>9358948799.9742794</v>
      </c>
      <c r="L8">
        <f t="shared" si="1"/>
        <v>793839.40714067547</v>
      </c>
      <c r="M8" s="14">
        <f>L8*IF(E8="",Parameters!$B$2,E8)</f>
        <v>1270143051.4250808</v>
      </c>
      <c r="N8" s="17">
        <f t="shared" si="2"/>
        <v>31880590.590769529</v>
      </c>
      <c r="O8" s="17">
        <f t="shared" si="3"/>
        <v>16359783.875642858</v>
      </c>
    </row>
    <row r="9" spans="1:15">
      <c r="A9" s="2">
        <v>8</v>
      </c>
      <c r="B9" s="2">
        <v>16000000</v>
      </c>
      <c r="C9" s="2">
        <v>1.9810000000000001</v>
      </c>
      <c r="D9" s="2">
        <v>0.82</v>
      </c>
      <c r="E9" s="2">
        <v>1600</v>
      </c>
      <c r="F9" s="2">
        <f>IFERROR(B9*C9*IF(D9="", Parameters!$B$2, D9)/Parameters!$B$6, 0)</f>
        <v>835620.42856913211</v>
      </c>
      <c r="G9" s="13">
        <f>F9*IF(E9="", Parameters!$B$2, E9)</f>
        <v>1336992685.7106113</v>
      </c>
      <c r="H9" s="2">
        <f>G9*Parameters!$B$4</f>
        <v>34761809.828475893</v>
      </c>
      <c r="I9" s="2">
        <f>1/POWER(1+Parameters!$B$5, A9)</f>
        <v>0.46650738020973315</v>
      </c>
      <c r="J9" s="6">
        <f t="shared" si="0"/>
        <v>16216640.834431242</v>
      </c>
      <c r="K9" s="6">
        <f>SUM($G$2:G9)</f>
        <v>10695941485.684891</v>
      </c>
      <c r="L9">
        <f t="shared" si="1"/>
        <v>793839.40714067547</v>
      </c>
      <c r="M9" s="14">
        <f>L9*IF(E9="",Parameters!$B$2,E9)</f>
        <v>1270143051.4250808</v>
      </c>
      <c r="N9" s="17">
        <f t="shared" si="2"/>
        <v>31880590.590769529</v>
      </c>
      <c r="O9" s="17">
        <f t="shared" si="3"/>
        <v>14872530.796038961</v>
      </c>
    </row>
    <row r="10" spans="1:15">
      <c r="A10" s="2">
        <v>9</v>
      </c>
      <c r="B10" s="2">
        <v>16000000</v>
      </c>
      <c r="C10" s="2">
        <v>1.9810000000000001</v>
      </c>
      <c r="D10" s="2">
        <v>0.82</v>
      </c>
      <c r="E10" s="2">
        <v>1600</v>
      </c>
      <c r="F10" s="2">
        <f>IFERROR(B10*C10*IF(D10="", Parameters!$B$2, D10)/Parameters!$B$6, 0)</f>
        <v>835620.42856913211</v>
      </c>
      <c r="G10" s="13">
        <f>F10*IF(E10="", Parameters!$B$2, E10)</f>
        <v>1336992685.7106113</v>
      </c>
      <c r="H10" s="2">
        <f>G10*Parameters!$B$4</f>
        <v>34761809.828475893</v>
      </c>
      <c r="I10" s="2">
        <f>1/POWER(1+Parameters!$B$5, A10)</f>
        <v>0.42409761837248466</v>
      </c>
      <c r="J10" s="6">
        <f t="shared" si="0"/>
        <v>14742400.758573856</v>
      </c>
      <c r="K10" s="6">
        <f>SUM($G$2:G10)</f>
        <v>12032934171.395502</v>
      </c>
      <c r="L10">
        <f t="shared" si="1"/>
        <v>793839.40714067547</v>
      </c>
      <c r="M10" s="14">
        <f>L10*IF(E10="",Parameters!$B$2,E10)</f>
        <v>1270143051.4250808</v>
      </c>
      <c r="N10" s="17">
        <f t="shared" si="2"/>
        <v>31880590.590769529</v>
      </c>
      <c r="O10" s="17">
        <f t="shared" si="3"/>
        <v>13520482.541853601</v>
      </c>
    </row>
    <row r="11" spans="1:15">
      <c r="A11" s="2">
        <v>10</v>
      </c>
      <c r="B11" s="2">
        <v>16000000</v>
      </c>
      <c r="C11" s="2">
        <v>1.9810000000000001</v>
      </c>
      <c r="D11" s="2">
        <v>0.82</v>
      </c>
      <c r="E11" s="2">
        <v>1600</v>
      </c>
      <c r="F11" s="2">
        <f>IFERROR(B11*C11*IF(D11="", Parameters!$B$2, D11)/Parameters!$B$6, 0)</f>
        <v>835620.42856913211</v>
      </c>
      <c r="G11" s="13">
        <f>F11*IF(E11="", Parameters!$B$2, E11)</f>
        <v>1336992685.7106113</v>
      </c>
      <c r="H11" s="2">
        <f>G11*Parameters!$B$4</f>
        <v>34761809.828475893</v>
      </c>
      <c r="I11" s="2">
        <f>1/POWER(1+Parameters!$B$5, A11)</f>
        <v>0.38554328942953148</v>
      </c>
      <c r="J11" s="6">
        <f t="shared" si="0"/>
        <v>13402182.507794414</v>
      </c>
      <c r="K11" s="6">
        <f>SUM($G$2:G11)</f>
        <v>13369926857.106113</v>
      </c>
      <c r="L11">
        <f t="shared" si="1"/>
        <v>793839.40714067547</v>
      </c>
      <c r="M11" s="14">
        <f>L11*IF(E11="",Parameters!$B$2,E11)</f>
        <v>1270143051.4250808</v>
      </c>
      <c r="N11" s="17">
        <f t="shared" si="2"/>
        <v>31880590.590769529</v>
      </c>
      <c r="O11" s="17">
        <f t="shared" si="3"/>
        <v>12291347.765321454</v>
      </c>
    </row>
    <row r="12" spans="1:15">
      <c r="A12" s="2">
        <v>11</v>
      </c>
      <c r="B12" s="2">
        <v>16000000</v>
      </c>
      <c r="C12" s="2">
        <v>1.9810000000000001</v>
      </c>
      <c r="D12" s="2">
        <v>0.82</v>
      </c>
      <c r="E12" s="2">
        <v>1600</v>
      </c>
      <c r="F12" s="2">
        <f>IFERROR(B12*C12*IF(D12="", Parameters!$B$2, D12)/Parameters!$B$6, 0)</f>
        <v>835620.42856913211</v>
      </c>
      <c r="G12" s="13">
        <f>F12*IF(E12="", Parameters!$B$2, E12)</f>
        <v>1336992685.7106113</v>
      </c>
      <c r="H12" s="2">
        <f>G12*Parameters!$B$4</f>
        <v>34761809.828475893</v>
      </c>
      <c r="I12" s="2">
        <f>1/POWER(1+Parameters!$B$5, A12)</f>
        <v>0.3504938994813922</v>
      </c>
      <c r="J12" s="6">
        <f t="shared" si="0"/>
        <v>12183802.279813102</v>
      </c>
      <c r="K12" s="6">
        <f>SUM($G$2:G12)</f>
        <v>14706919542.816725</v>
      </c>
      <c r="L12">
        <f t="shared" si="1"/>
        <v>793839.40714067547</v>
      </c>
      <c r="M12" s="14">
        <f>L12*IF(E12="",Parameters!$B$2,E12)</f>
        <v>1270143051.4250808</v>
      </c>
      <c r="N12" s="17">
        <f t="shared" si="2"/>
        <v>31880590.590769529</v>
      </c>
      <c r="O12" s="17">
        <f t="shared" si="3"/>
        <v>11173952.513928594</v>
      </c>
    </row>
    <row r="13" spans="1:15">
      <c r="A13" s="2">
        <v>12</v>
      </c>
      <c r="B13" s="2">
        <v>16000000</v>
      </c>
      <c r="C13" s="2">
        <v>1.9810000000000001</v>
      </c>
      <c r="D13" s="2">
        <v>0.82</v>
      </c>
      <c r="E13" s="2">
        <v>1600</v>
      </c>
      <c r="F13" s="2">
        <f>IFERROR(B13*C13*IF(D13="", Parameters!$B$2, D13)/Parameters!$B$6, 0)</f>
        <v>835620.42856913211</v>
      </c>
      <c r="G13" s="13">
        <f>F13*IF(E13="", Parameters!$B$2, E13)</f>
        <v>1336992685.7106113</v>
      </c>
      <c r="H13" s="2">
        <f>G13*Parameters!$B$4</f>
        <v>34761809.828475893</v>
      </c>
      <c r="I13" s="2">
        <f>1/POWER(1+Parameters!$B$5, A13)</f>
        <v>0.31863081771035656</v>
      </c>
      <c r="J13" s="6">
        <f t="shared" si="0"/>
        <v>11076183.890739184</v>
      </c>
      <c r="K13" s="6">
        <f>SUM($G$2:G13)</f>
        <v>16043912228.527336</v>
      </c>
      <c r="L13">
        <f t="shared" si="1"/>
        <v>793839.40714067547</v>
      </c>
      <c r="M13" s="14">
        <f>L13*IF(E13="",Parameters!$B$2,E13)</f>
        <v>1270143051.4250808</v>
      </c>
      <c r="N13" s="17">
        <f t="shared" si="2"/>
        <v>31880590.590769529</v>
      </c>
      <c r="O13" s="17">
        <f t="shared" si="3"/>
        <v>10158138.649025995</v>
      </c>
    </row>
    <row r="14" spans="1:15">
      <c r="A14" s="2">
        <v>13</v>
      </c>
      <c r="B14" s="2">
        <v>16000000</v>
      </c>
      <c r="C14" s="2">
        <v>1.9810000000000001</v>
      </c>
      <c r="D14" s="2">
        <v>0.82</v>
      </c>
      <c r="E14" s="2">
        <v>1600</v>
      </c>
      <c r="F14" s="2">
        <f>IFERROR(B14*C14*IF(D14="", Parameters!$B$2, D14)/Parameters!$B$6, 0)</f>
        <v>835620.42856913211</v>
      </c>
      <c r="G14" s="13">
        <f>F14*IF(E14="", Parameters!$B$2, E14)</f>
        <v>1336992685.7106113</v>
      </c>
      <c r="H14" s="2">
        <f>G14*Parameters!$B$4</f>
        <v>34761809.828475893</v>
      </c>
      <c r="I14" s="2">
        <f>1/POWER(1+Parameters!$B$5, A14)</f>
        <v>0.28966437973668779</v>
      </c>
      <c r="J14" s="6">
        <f t="shared" si="0"/>
        <v>10069258.082490167</v>
      </c>
      <c r="K14" s="6">
        <f>SUM($G$2:G14)</f>
        <v>17380904914.237946</v>
      </c>
      <c r="L14">
        <f t="shared" si="1"/>
        <v>793839.40714067547</v>
      </c>
      <c r="M14" s="14">
        <f>L14*IF(E14="",Parameters!$B$2,E14)</f>
        <v>1270143051.4250808</v>
      </c>
      <c r="N14" s="17">
        <f t="shared" si="2"/>
        <v>31880590.590769529</v>
      </c>
      <c r="O14" s="17">
        <f t="shared" si="3"/>
        <v>9234671.4991145413</v>
      </c>
    </row>
    <row r="15" spans="1:15">
      <c r="A15" s="2">
        <v>14</v>
      </c>
      <c r="B15" s="2">
        <v>16000000</v>
      </c>
      <c r="C15" s="2">
        <v>1.9810000000000001</v>
      </c>
      <c r="D15" s="2">
        <v>0.82</v>
      </c>
      <c r="E15" s="2">
        <v>1600</v>
      </c>
      <c r="F15" s="2">
        <f>IFERROR(B15*C15*IF(D15="", Parameters!$B$2, D15)/Parameters!$B$6, 0)</f>
        <v>835620.42856913211</v>
      </c>
      <c r="G15" s="13">
        <f>F15*IF(E15="", Parameters!$B$2, E15)</f>
        <v>1336992685.7106113</v>
      </c>
      <c r="H15" s="2">
        <f>G15*Parameters!$B$4</f>
        <v>34761809.828475893</v>
      </c>
      <c r="I15" s="2">
        <f>1/POWER(1+Parameters!$B$5, A15)</f>
        <v>0.26333125430607973</v>
      </c>
      <c r="J15" s="6">
        <f t="shared" si="0"/>
        <v>9153870.9840819668</v>
      </c>
      <c r="K15" s="6">
        <f>SUM($G$2:G15)</f>
        <v>18717897599.948555</v>
      </c>
      <c r="L15">
        <f t="shared" si="1"/>
        <v>793839.40714067547</v>
      </c>
      <c r="M15" s="14">
        <f>L15*IF(E15="",Parameters!$B$2,E15)</f>
        <v>1270143051.4250808</v>
      </c>
      <c r="N15" s="17">
        <f t="shared" si="2"/>
        <v>31880590.590769529</v>
      </c>
      <c r="O15" s="17">
        <f t="shared" si="3"/>
        <v>8395155.9082859438</v>
      </c>
    </row>
    <row r="16" spans="1:15">
      <c r="A16" s="2">
        <v>15</v>
      </c>
      <c r="B16" s="2">
        <v>16000000</v>
      </c>
      <c r="C16" s="2">
        <v>1.9810000000000001</v>
      </c>
      <c r="D16" s="2">
        <v>0.82</v>
      </c>
      <c r="E16" s="2">
        <v>1600</v>
      </c>
      <c r="F16" s="2">
        <f>IFERROR(B16*C16*IF(D16="", Parameters!$B$2, D16)/Parameters!$B$6, 0)</f>
        <v>835620.42856913211</v>
      </c>
      <c r="G16" s="13">
        <f>F16*IF(E16="", Parameters!$B$2, E16)</f>
        <v>1336992685.7106113</v>
      </c>
      <c r="H16" s="2">
        <f>G16*Parameters!$B$4</f>
        <v>34761809.828475893</v>
      </c>
      <c r="I16" s="2">
        <f>1/POWER(1+Parameters!$B$5, A16)</f>
        <v>0.23939204936916339</v>
      </c>
      <c r="J16" s="6">
        <f t="shared" si="0"/>
        <v>8321700.8946199697</v>
      </c>
      <c r="K16" s="6">
        <f>SUM($G$2:G16)</f>
        <v>20054890285.659164</v>
      </c>
      <c r="L16">
        <f t="shared" si="1"/>
        <v>793839.40714067547</v>
      </c>
      <c r="M16" s="14">
        <f>L16*IF(E16="",Parameters!$B$2,E16)</f>
        <v>1270143051.4250808</v>
      </c>
      <c r="N16" s="17">
        <f t="shared" si="2"/>
        <v>31880590.590769529</v>
      </c>
      <c r="O16" s="17">
        <f t="shared" si="3"/>
        <v>7631959.9166235849</v>
      </c>
    </row>
    <row r="17" spans="1:15">
      <c r="A17" s="2">
        <v>16</v>
      </c>
      <c r="B17" s="2">
        <v>16000000</v>
      </c>
      <c r="C17" s="2">
        <v>1.9810000000000001</v>
      </c>
      <c r="D17" s="2">
        <v>0.82</v>
      </c>
      <c r="E17" s="2">
        <v>1600</v>
      </c>
      <c r="F17" s="2">
        <f>IFERROR(B17*C17*IF(D17="", Parameters!$B$2, D17)/Parameters!$B$6, 0)</f>
        <v>835620.42856913211</v>
      </c>
      <c r="G17" s="13">
        <f>F17*IF(E17="", Parameters!$B$2, E17)</f>
        <v>1336992685.7106113</v>
      </c>
      <c r="H17" s="2">
        <f>G17*Parameters!$B$4</f>
        <v>34761809.828475893</v>
      </c>
      <c r="I17" s="2">
        <f>1/POWER(1+Parameters!$B$5, A17)</f>
        <v>0.21762913579014853</v>
      </c>
      <c r="J17" s="6">
        <f t="shared" si="0"/>
        <v>7565182.6314727003</v>
      </c>
      <c r="K17" s="6">
        <f>SUM($G$2:G17)</f>
        <v>21391882971.369774</v>
      </c>
      <c r="L17">
        <f t="shared" si="1"/>
        <v>793839.40714067547</v>
      </c>
      <c r="M17" s="14">
        <f>L17*IF(E17="",Parameters!$B$2,E17)</f>
        <v>1270143051.4250808</v>
      </c>
      <c r="N17" s="17">
        <f t="shared" si="2"/>
        <v>31880590.590769529</v>
      </c>
      <c r="O17" s="17">
        <f t="shared" si="3"/>
        <v>6938145.3787487131</v>
      </c>
    </row>
    <row r="18" spans="1:15">
      <c r="A18" s="2">
        <v>17</v>
      </c>
      <c r="B18" s="2">
        <v>16000000</v>
      </c>
      <c r="C18" s="2">
        <v>1.9810000000000001</v>
      </c>
      <c r="D18" s="2">
        <v>0.82</v>
      </c>
      <c r="E18" s="2">
        <v>1600</v>
      </c>
      <c r="F18" s="2">
        <f>IFERROR(B18*C18*IF(D18="", Parameters!$B$2, D18)/Parameters!$B$6, 0)</f>
        <v>835620.42856913211</v>
      </c>
      <c r="G18" s="13">
        <f>F18*IF(E18="", Parameters!$B$2, E18)</f>
        <v>1336992685.7106113</v>
      </c>
      <c r="H18" s="2">
        <f>G18*Parameters!$B$4</f>
        <v>34761809.828475893</v>
      </c>
      <c r="I18" s="2">
        <f>1/POWER(1+Parameters!$B$5, A18)</f>
        <v>0.19784466890013502</v>
      </c>
      <c r="J18" s="6">
        <f t="shared" si="0"/>
        <v>6877438.755884272</v>
      </c>
      <c r="K18" s="6">
        <f>SUM($G$2:G18)</f>
        <v>22728875657.080383</v>
      </c>
      <c r="L18">
        <f t="shared" si="1"/>
        <v>793839.40714067547</v>
      </c>
      <c r="M18" s="14">
        <f>L18*IF(E18="",Parameters!$B$2,E18)</f>
        <v>1270143051.4250808</v>
      </c>
      <c r="N18" s="17">
        <f t="shared" si="2"/>
        <v>31880590.590769529</v>
      </c>
      <c r="O18" s="17">
        <f t="shared" si="3"/>
        <v>6307404.8897715574</v>
      </c>
    </row>
    <row r="19" spans="1:15">
      <c r="A19" s="2">
        <v>18</v>
      </c>
      <c r="B19" s="2">
        <v>16000000</v>
      </c>
      <c r="C19" s="2">
        <v>1.9810000000000001</v>
      </c>
      <c r="D19" s="2">
        <v>0.82</v>
      </c>
      <c r="E19" s="2">
        <v>1600</v>
      </c>
      <c r="F19" s="2">
        <f>IFERROR(B19*C19*IF(D19="", Parameters!$B$2, D19)/Parameters!$B$6, 0)</f>
        <v>835620.42856913211</v>
      </c>
      <c r="G19" s="13">
        <f>F19*IF(E19="", Parameters!$B$2, E19)</f>
        <v>1336992685.7106113</v>
      </c>
      <c r="H19" s="2">
        <f>G19*Parameters!$B$4</f>
        <v>34761809.828475893</v>
      </c>
      <c r="I19" s="2">
        <f>1/POWER(1+Parameters!$B$5, A19)</f>
        <v>0.17985878990921364</v>
      </c>
      <c r="J19" s="6">
        <f t="shared" si="0"/>
        <v>6252217.050803883</v>
      </c>
      <c r="K19" s="6">
        <f>SUM($G$2:G19)</f>
        <v>24065868342.790993</v>
      </c>
      <c r="L19">
        <f t="shared" si="1"/>
        <v>793839.40714067547</v>
      </c>
      <c r="M19" s="14">
        <f>L19*IF(E19="",Parameters!$B$2,E19)</f>
        <v>1270143051.4250808</v>
      </c>
      <c r="N19" s="17">
        <f t="shared" si="2"/>
        <v>31880590.590769529</v>
      </c>
      <c r="O19" s="17">
        <f t="shared" si="3"/>
        <v>5734004.4452468697</v>
      </c>
    </row>
    <row r="20" spans="1:15">
      <c r="A20" s="2">
        <v>19</v>
      </c>
      <c r="B20" s="2">
        <v>16000000</v>
      </c>
      <c r="C20" s="2">
        <v>1.9810000000000001</v>
      </c>
      <c r="D20" s="2">
        <v>0.82</v>
      </c>
      <c r="E20" s="2">
        <v>1600</v>
      </c>
      <c r="F20" s="2">
        <f>IFERROR(B20*C20*IF(D20="", Parameters!$B$2, D20)/Parameters!$B$6, 0)</f>
        <v>835620.42856913211</v>
      </c>
      <c r="G20" s="13">
        <f>F20*IF(E20="", Parameters!$B$2, E20)</f>
        <v>1336992685.7106113</v>
      </c>
      <c r="H20" s="2">
        <f>G20*Parameters!$B$4</f>
        <v>34761809.828475893</v>
      </c>
      <c r="I20" s="2">
        <f>1/POWER(1+Parameters!$B$5, A20)</f>
        <v>0.16350799082655781</v>
      </c>
      <c r="J20" s="6">
        <f t="shared" si="0"/>
        <v>5683833.682548984</v>
      </c>
      <c r="K20" s="6">
        <f>SUM($G$2:G20)</f>
        <v>25402861028.501602</v>
      </c>
      <c r="L20">
        <f t="shared" si="1"/>
        <v>793839.40714067547</v>
      </c>
      <c r="M20" s="14">
        <f>L20*IF(E20="",Parameters!$B$2,E20)</f>
        <v>1270143051.4250808</v>
      </c>
      <c r="N20" s="17">
        <f t="shared" si="2"/>
        <v>31880590.590769529</v>
      </c>
      <c r="O20" s="17">
        <f t="shared" si="3"/>
        <v>5212731.3138607899</v>
      </c>
    </row>
    <row r="21" spans="1:15">
      <c r="A21" s="2">
        <v>20</v>
      </c>
      <c r="B21" s="2">
        <v>16000000</v>
      </c>
      <c r="C21" s="2">
        <v>1.9810000000000001</v>
      </c>
      <c r="D21" s="2">
        <v>0.82</v>
      </c>
      <c r="E21" s="2">
        <v>1600</v>
      </c>
      <c r="F21" s="2">
        <f>IFERROR(B21*C21*IF(D21="", Parameters!$B$2, D21)/Parameters!$B$6, 0)</f>
        <v>835620.42856913211</v>
      </c>
      <c r="G21" s="13">
        <f>F21*IF(E21="", Parameters!$B$2, E21)</f>
        <v>1336992685.7106113</v>
      </c>
      <c r="H21" s="2">
        <f>G21*Parameters!$B$4</f>
        <v>34761809.828475893</v>
      </c>
      <c r="I21" s="2">
        <f>1/POWER(1+Parameters!$B$5, A21)</f>
        <v>0.14864362802414349</v>
      </c>
      <c r="J21" s="6">
        <f t="shared" si="0"/>
        <v>5167121.5295899855</v>
      </c>
      <c r="K21" s="6">
        <f>SUM($G$2:G21)</f>
        <v>26739853714.212212</v>
      </c>
      <c r="L21">
        <f t="shared" si="1"/>
        <v>793839.40714067547</v>
      </c>
      <c r="M21" s="14">
        <f>L21*IF(E21="",Parameters!$B$2,E21)</f>
        <v>1270143051.4250808</v>
      </c>
      <c r="N21" s="17">
        <f t="shared" si="2"/>
        <v>31880590.590769529</v>
      </c>
      <c r="O21" s="17">
        <f t="shared" si="3"/>
        <v>4738846.6489643548</v>
      </c>
    </row>
    <row r="22" spans="1:15">
      <c r="A22" s="2">
        <v>21</v>
      </c>
      <c r="B22" s="2">
        <v>16000000</v>
      </c>
      <c r="C22" s="2">
        <v>1.9810000000000001</v>
      </c>
      <c r="D22" s="2">
        <v>0.82</v>
      </c>
      <c r="E22" s="2">
        <v>1600</v>
      </c>
      <c r="F22" s="2">
        <f>IFERROR(B22*C22*IF(D22="", Parameters!$B$2, D22)/Parameters!$B$6, 0)</f>
        <v>835620.42856913211</v>
      </c>
      <c r="G22" s="13">
        <f>F22*IF(E22="", Parameters!$B$2, E22)</f>
        <v>1336992685.7106113</v>
      </c>
      <c r="H22" s="2">
        <f>G22*Parameters!$B$4</f>
        <v>34761809.828475893</v>
      </c>
      <c r="I22" s="2">
        <f>1/POWER(1+Parameters!$B$5, A22)</f>
        <v>0.13513057093103953</v>
      </c>
      <c r="J22" s="6">
        <f t="shared" si="0"/>
        <v>4697383.2087181685</v>
      </c>
      <c r="K22" s="6">
        <f>SUM($G$2:G22)</f>
        <v>28076846399.922821</v>
      </c>
      <c r="L22">
        <f t="shared" si="1"/>
        <v>793839.40714067547</v>
      </c>
      <c r="M22" s="14">
        <f>L22*IF(E22="",Parameters!$B$2,E22)</f>
        <v>1270143051.4250808</v>
      </c>
      <c r="N22" s="17">
        <f t="shared" si="2"/>
        <v>31880590.590769529</v>
      </c>
      <c r="O22" s="17">
        <f t="shared" si="3"/>
        <v>4308042.4081494128</v>
      </c>
    </row>
    <row r="23" spans="1:15">
      <c r="A23" s="2">
        <v>22</v>
      </c>
      <c r="B23" s="2">
        <v>16000000</v>
      </c>
      <c r="C23" s="2">
        <v>1.9810000000000001</v>
      </c>
      <c r="D23" s="2">
        <v>0.82</v>
      </c>
      <c r="E23" s="2">
        <v>1600</v>
      </c>
      <c r="F23" s="2">
        <f>IFERROR(B23*C23*IF(D23="", Parameters!$B$2, D23)/Parameters!$B$6, 0)</f>
        <v>835620.42856913211</v>
      </c>
      <c r="G23" s="13">
        <f>F23*IF(E23="", Parameters!$B$2, E23)</f>
        <v>1336992685.7106113</v>
      </c>
      <c r="H23" s="2">
        <f>G23*Parameters!$B$4</f>
        <v>34761809.828475893</v>
      </c>
      <c r="I23" s="2">
        <f>1/POWER(1+Parameters!$B$5, A23)</f>
        <v>0.12284597357367227</v>
      </c>
      <c r="J23" s="6">
        <f t="shared" si="0"/>
        <v>4270348.3715619706</v>
      </c>
      <c r="K23" s="6">
        <f>SUM($G$2:G23)</f>
        <v>29413839085.63343</v>
      </c>
      <c r="L23">
        <f t="shared" si="1"/>
        <v>793839.40714067547</v>
      </c>
      <c r="M23" s="14">
        <f>L23*IF(E23="",Parameters!$B$2,E23)</f>
        <v>1270143051.4250808</v>
      </c>
      <c r="N23" s="17">
        <f t="shared" si="2"/>
        <v>31880590.590769529</v>
      </c>
      <c r="O23" s="17">
        <f t="shared" si="3"/>
        <v>3916402.1892267386</v>
      </c>
    </row>
    <row r="24" spans="1:15">
      <c r="A24" s="2">
        <v>23</v>
      </c>
      <c r="B24" s="2">
        <v>16000000</v>
      </c>
      <c r="C24" s="2">
        <v>1.9810000000000001</v>
      </c>
      <c r="D24" s="2">
        <v>0.82</v>
      </c>
      <c r="E24" s="2">
        <v>1600</v>
      </c>
      <c r="F24" s="2">
        <f>IFERROR(B24*C24*IF(D24="", Parameters!$B$2, D24)/Parameters!$B$6, 0)</f>
        <v>835620.42856913211</v>
      </c>
      <c r="G24" s="13">
        <f>F24*IF(E24="", Parameters!$B$2, E24)</f>
        <v>1336992685.7106113</v>
      </c>
      <c r="H24" s="2">
        <f>G24*Parameters!$B$4</f>
        <v>34761809.828475893</v>
      </c>
      <c r="I24" s="2">
        <f>1/POWER(1+Parameters!$B$5, A24)</f>
        <v>0.11167815779424752</v>
      </c>
      <c r="J24" s="6">
        <f t="shared" si="0"/>
        <v>3882134.8832381549</v>
      </c>
      <c r="K24" s="6">
        <f>SUM($G$2:G24)</f>
        <v>30750831771.34404</v>
      </c>
      <c r="L24">
        <f t="shared" si="1"/>
        <v>793839.40714067547</v>
      </c>
      <c r="M24" s="14">
        <f>L24*IF(E24="",Parameters!$B$2,E24)</f>
        <v>1270143051.4250808</v>
      </c>
      <c r="N24" s="17">
        <f t="shared" si="2"/>
        <v>31880590.590769529</v>
      </c>
      <c r="O24" s="17">
        <f t="shared" si="3"/>
        <v>3560365.6265697619</v>
      </c>
    </row>
    <row r="25" spans="1:15">
      <c r="A25" s="2">
        <v>24</v>
      </c>
      <c r="B25" s="2">
        <v>16000000</v>
      </c>
      <c r="C25" s="2">
        <v>1.9810000000000001</v>
      </c>
      <c r="D25" s="2">
        <v>0.82</v>
      </c>
      <c r="E25" s="2">
        <v>1600</v>
      </c>
      <c r="F25" s="2">
        <f>IFERROR(B25*C25*IF(D25="", Parameters!$B$2, D25)/Parameters!$B$6, 0)</f>
        <v>835620.42856913211</v>
      </c>
      <c r="G25" s="13">
        <f>F25*IF(E25="", Parameters!$B$2, E25)</f>
        <v>1336992685.7106113</v>
      </c>
      <c r="H25" s="2">
        <f>G25*Parameters!$B$4</f>
        <v>34761809.828475893</v>
      </c>
      <c r="I25" s="2">
        <f>1/POWER(1+Parameters!$B$5, A25)</f>
        <v>0.10152559799477048</v>
      </c>
      <c r="J25" s="6">
        <f t="shared" si="0"/>
        <v>3529213.5302165048</v>
      </c>
      <c r="K25" s="6">
        <f>SUM($G$2:G25)</f>
        <v>32087824457.054649</v>
      </c>
      <c r="L25">
        <f t="shared" si="1"/>
        <v>793839.40714067547</v>
      </c>
      <c r="M25" s="14">
        <f>L25*IF(E25="",Parameters!$B$2,E25)</f>
        <v>1270143051.4250808</v>
      </c>
      <c r="N25" s="17">
        <f t="shared" si="2"/>
        <v>31880590.590769529</v>
      </c>
      <c r="O25" s="17">
        <f t="shared" si="3"/>
        <v>3236696.0241543297</v>
      </c>
    </row>
    <row r="26" spans="1:15">
      <c r="A26" s="2">
        <v>25</v>
      </c>
      <c r="B26" s="2">
        <v>16000000</v>
      </c>
      <c r="C26" s="2">
        <v>1.9810000000000001</v>
      </c>
      <c r="D26" s="2">
        <v>0.82</v>
      </c>
      <c r="E26" s="2">
        <v>1600</v>
      </c>
      <c r="F26" s="2">
        <f>IFERROR(B26*C26*IF(D26="", Parameters!$B$2, D26)/Parameters!$B$6, 0)</f>
        <v>835620.42856913211</v>
      </c>
      <c r="G26" s="13">
        <f>F26*IF(E26="", Parameters!$B$2, E26)</f>
        <v>1336992685.7106113</v>
      </c>
      <c r="H26" s="2">
        <f>G26*Parameters!$B$4</f>
        <v>34761809.828475893</v>
      </c>
      <c r="I26" s="2">
        <f>1/POWER(1+Parameters!$B$5, A26)</f>
        <v>9.2295998177064048E-2</v>
      </c>
      <c r="J26" s="6">
        <f t="shared" si="0"/>
        <v>3208375.936560458</v>
      </c>
      <c r="K26" s="6">
        <f>SUM($G$2:G26)</f>
        <v>33424817142.765259</v>
      </c>
      <c r="L26">
        <f t="shared" si="1"/>
        <v>793839.40714067547</v>
      </c>
      <c r="M26" s="14">
        <f>L26*IF(E26="",Parameters!$B$2,E26)</f>
        <v>1270143051.4250808</v>
      </c>
      <c r="N26" s="17">
        <f t="shared" si="2"/>
        <v>31880590.590769529</v>
      </c>
      <c r="O26" s="17">
        <f t="shared" si="3"/>
        <v>2942450.9310493898</v>
      </c>
    </row>
    <row r="27" spans="1:15">
      <c r="A27" s="2">
        <v>26</v>
      </c>
      <c r="B27" s="2">
        <v>16000000</v>
      </c>
      <c r="C27" s="2">
        <v>1.9810000000000001</v>
      </c>
      <c r="D27" s="2">
        <v>0.82</v>
      </c>
      <c r="E27" s="2">
        <v>1600</v>
      </c>
      <c r="F27" s="2">
        <f>IFERROR(B27*C27*IF(D27="", Parameters!$B$2, D27)/Parameters!$B$6, 0)</f>
        <v>835620.42856913211</v>
      </c>
      <c r="G27" s="13">
        <f>F27*IF(E27="", Parameters!$B$2, E27)</f>
        <v>1336992685.7106113</v>
      </c>
      <c r="H27" s="2">
        <f>G27*Parameters!$B$4</f>
        <v>34761809.828475893</v>
      </c>
      <c r="I27" s="2">
        <f>1/POWER(1+Parameters!$B$5, A27)</f>
        <v>8.3905452888240042E-2</v>
      </c>
      <c r="J27" s="6">
        <f t="shared" si="0"/>
        <v>2916705.3968731435</v>
      </c>
      <c r="K27" s="6">
        <f>SUM($G$2:G27)</f>
        <v>34761809828.475868</v>
      </c>
      <c r="L27">
        <f t="shared" si="1"/>
        <v>793839.40714067547</v>
      </c>
      <c r="M27" s="14">
        <f>L27*IF(E27="",Parameters!$B$2,E27)</f>
        <v>1270143051.4250808</v>
      </c>
      <c r="N27" s="17">
        <f t="shared" si="2"/>
        <v>31880590.590769529</v>
      </c>
      <c r="O27" s="17">
        <f t="shared" si="3"/>
        <v>2674955.3918630816</v>
      </c>
    </row>
    <row r="28" spans="1:15">
      <c r="A28" s="2">
        <v>27</v>
      </c>
      <c r="B28" s="2">
        <v>16000000</v>
      </c>
      <c r="C28" s="2">
        <v>1.9810000000000001</v>
      </c>
      <c r="D28" s="2">
        <v>0.82</v>
      </c>
      <c r="E28" s="2">
        <v>1600</v>
      </c>
      <c r="F28" s="2">
        <f>IFERROR(B28*C28*IF(D28="", Parameters!$B$2, D28)/Parameters!$B$6, 0)</f>
        <v>835620.42856913211</v>
      </c>
      <c r="G28" s="13">
        <f>F28*IF(E28="", Parameters!$B$2, E28)</f>
        <v>1336992685.7106113</v>
      </c>
      <c r="H28" s="2">
        <f>G28*Parameters!$B$4</f>
        <v>34761809.828475893</v>
      </c>
      <c r="I28" s="2">
        <f>1/POWER(1+Parameters!$B$5, A28)</f>
        <v>7.6277684443854576E-2</v>
      </c>
      <c r="J28" s="6">
        <f t="shared" si="0"/>
        <v>2651550.3607937666</v>
      </c>
      <c r="K28" s="6">
        <f>SUM($G$2:G28)</f>
        <v>36098802514.186478</v>
      </c>
      <c r="L28">
        <f t="shared" ref="L28:L29" si="4">F28*0.95</f>
        <v>793839.40714067547</v>
      </c>
      <c r="M28" s="14">
        <f>L28*IF(E28="",Parameters!$B$2,E28)</f>
        <v>1270143051.4250808</v>
      </c>
      <c r="N28" s="17">
        <f t="shared" si="2"/>
        <v>31880590.590769529</v>
      </c>
      <c r="O28" s="17">
        <f t="shared" ref="O28:O29" si="5">N28*I28</f>
        <v>2431777.6289664377</v>
      </c>
    </row>
    <row r="29" spans="1:15">
      <c r="A29" s="2">
        <v>28</v>
      </c>
      <c r="B29" s="2">
        <v>16000000</v>
      </c>
      <c r="C29" s="2">
        <v>1.9810000000000001</v>
      </c>
      <c r="D29" s="2">
        <v>0.82</v>
      </c>
      <c r="E29" s="2">
        <v>1600</v>
      </c>
      <c r="F29" s="2">
        <f>IFERROR(B29*C29*IF(D29="", Parameters!$B$2, D29)/Parameters!$B$6, 0)</f>
        <v>835620.42856913211</v>
      </c>
      <c r="G29" s="13">
        <f>F29*IF(E29="", Parameters!$B$2, E29)</f>
        <v>1336992685.7106113</v>
      </c>
      <c r="H29" s="2">
        <f>G29*Parameters!$B$4</f>
        <v>34761809.828475893</v>
      </c>
      <c r="I29" s="2">
        <f>1/POWER(1+Parameters!$B$5, A29)</f>
        <v>6.9343349494413245E-2</v>
      </c>
      <c r="J29" s="6">
        <f t="shared" si="0"/>
        <v>2410500.3279943331</v>
      </c>
      <c r="K29" s="6">
        <f>SUM($G$2:G29)</f>
        <v>37435795199.897087</v>
      </c>
      <c r="L29">
        <f t="shared" si="4"/>
        <v>793839.40714067547</v>
      </c>
      <c r="M29" s="14">
        <f>L29*IF(E29="",Parameters!$B$2,E29)</f>
        <v>1270143051.4250808</v>
      </c>
      <c r="N29" s="17">
        <f t="shared" si="2"/>
        <v>31880590.590769529</v>
      </c>
      <c r="O29" s="17">
        <f t="shared" si="5"/>
        <v>2210706.935424034</v>
      </c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37435795199.897087</v>
      </c>
      <c r="H39">
        <f>SUM(H2:H33)</f>
        <v>973330675.19732571</v>
      </c>
      <c r="J39" s="11">
        <f>SUM(J2:J29)</f>
        <v>323513095.00481534</v>
      </c>
      <c r="O39" s="11">
        <f>SUM(O2:O29)</f>
        <v>296698836.55345482</v>
      </c>
    </row>
    <row r="40" spans="1:15">
      <c r="F40" s="3" t="s">
        <v>16</v>
      </c>
      <c r="G40" s="10">
        <f>G39</f>
        <v>37435795199.897087</v>
      </c>
    </row>
    <row r="41" spans="1:15">
      <c r="F41" s="3" t="s">
        <v>17</v>
      </c>
      <c r="G41" s="10">
        <f>H39</f>
        <v>973330675.19732571</v>
      </c>
    </row>
    <row r="42" spans="1:15">
      <c r="F42" s="3" t="s">
        <v>9</v>
      </c>
      <c r="G42" s="10">
        <f>J39</f>
        <v>323513095.00481534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02ED-AF86-46ED-B8CF-BB0874B330D2}">
  <sheetPr codeName="Sheet11"/>
  <dimension ref="A1:O42"/>
  <sheetViews>
    <sheetView topLeftCell="A9" workbookViewId="0">
      <pane xSplit="1" topLeftCell="D1" activePane="topRight" state="frozen"/>
      <selection pane="topRight" activeCell="M36" sqref="M36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17000000</v>
      </c>
      <c r="C2" s="2">
        <v>1.9279999999999999</v>
      </c>
      <c r="D2" s="2">
        <v>0.82</v>
      </c>
      <c r="E2" s="2">
        <v>1600</v>
      </c>
      <c r="F2" s="2">
        <f>IFERROR(B2*C2*IF(D2="", Parameters!$B$2, D2)/Parameters!$B$6, 0)</f>
        <v>864093.1084926133</v>
      </c>
      <c r="G2" s="13">
        <f>F2*IF(E2="", Parameters!$B$2, E2)</f>
        <v>1382548973.5881813</v>
      </c>
      <c r="H2" s="2">
        <f>G2*Parameters!$B$4</f>
        <v>35946273.313292712</v>
      </c>
      <c r="I2" s="2">
        <f>1/POWER(1+Parameters!$B$5, A2)</f>
        <v>0.90909090909090906</v>
      </c>
      <c r="J2" s="6">
        <f t="shared" ref="J2:J33" si="0">H2*I2</f>
        <v>32678430.284811556</v>
      </c>
      <c r="K2" s="6">
        <f>SUM($G$2:G2)</f>
        <v>1382548973.5881813</v>
      </c>
      <c r="L2">
        <f>F2*0.95</f>
        <v>820888.45306798257</v>
      </c>
      <c r="M2" s="14">
        <f>L2*IF(E2="",Parameters!$B$2,E2)</f>
        <v>1313421524.908772</v>
      </c>
      <c r="N2" s="17">
        <f>M2*0.0251</f>
        <v>32966880.275210179</v>
      </c>
      <c r="O2" s="17">
        <f>N2*I2</f>
        <v>29969891.15928198</v>
      </c>
    </row>
    <row r="3" spans="1:15">
      <c r="A3" s="2">
        <v>2</v>
      </c>
      <c r="B3" s="2">
        <v>17000000</v>
      </c>
      <c r="C3" s="2">
        <v>1.9279999999999999</v>
      </c>
      <c r="D3" s="2">
        <v>0.82</v>
      </c>
      <c r="E3" s="2">
        <v>1600</v>
      </c>
      <c r="F3" s="2">
        <f>IFERROR(B3*C3*IF(D3="", Parameters!$B$2, D3)/Parameters!$B$6, 0)</f>
        <v>864093.1084926133</v>
      </c>
      <c r="G3" s="13">
        <f>F3*IF(E3="", Parameters!$B$2, E3)</f>
        <v>1382548973.5881813</v>
      </c>
      <c r="H3" s="2">
        <f>G3*Parameters!$B$4</f>
        <v>35946273.313292712</v>
      </c>
      <c r="I3" s="2">
        <f>1/POWER(1+Parameters!$B$5, A3)</f>
        <v>0.82644628099173545</v>
      </c>
      <c r="J3" s="6">
        <f t="shared" si="0"/>
        <v>29707663.89528323</v>
      </c>
      <c r="K3" s="6">
        <f>SUM($G$2:G3)</f>
        <v>2765097947.1763625</v>
      </c>
      <c r="L3">
        <f t="shared" ref="L3:L33" si="1">F3*0.95</f>
        <v>820888.45306798257</v>
      </c>
      <c r="M3" s="14">
        <f>L3*IF(E3="",Parameters!$B$2,E3)</f>
        <v>1313421524.908772</v>
      </c>
      <c r="N3" s="17">
        <f t="shared" ref="N3:N29" si="2">M3*0.0251</f>
        <v>32966880.275210179</v>
      </c>
      <c r="O3" s="17">
        <f t="shared" ref="O3:O29" si="3">N3*I3</f>
        <v>27245355.599347252</v>
      </c>
    </row>
    <row r="4" spans="1:15">
      <c r="A4" s="2">
        <v>3</v>
      </c>
      <c r="B4" s="2">
        <v>17000000</v>
      </c>
      <c r="C4" s="2">
        <v>1.9279999999999999</v>
      </c>
      <c r="D4" s="2">
        <v>0.82</v>
      </c>
      <c r="E4" s="2">
        <v>1600</v>
      </c>
      <c r="F4" s="2">
        <f>IFERROR(B4*C4*IF(D4="", Parameters!$B$2, D4)/Parameters!$B$6, 0)</f>
        <v>864093.1084926133</v>
      </c>
      <c r="G4" s="13">
        <f>F4*IF(E4="", Parameters!$B$2, E4)</f>
        <v>1382548973.5881813</v>
      </c>
      <c r="H4" s="2">
        <f>G4*Parameters!$B$4</f>
        <v>35946273.313292712</v>
      </c>
      <c r="I4" s="2">
        <f>1/POWER(1+Parameters!$B$5, A4)</f>
        <v>0.75131480090157754</v>
      </c>
      <c r="J4" s="6">
        <f t="shared" si="0"/>
        <v>27006967.177530203</v>
      </c>
      <c r="K4" s="6">
        <f>SUM($G$2:G4)</f>
        <v>4147646920.7645435</v>
      </c>
      <c r="L4">
        <f t="shared" si="1"/>
        <v>820888.45306798257</v>
      </c>
      <c r="M4" s="14">
        <f>L4*IF(E4="",Parameters!$B$2,E4)</f>
        <v>1313421524.908772</v>
      </c>
      <c r="N4" s="17">
        <f t="shared" si="2"/>
        <v>32966880.275210179</v>
      </c>
      <c r="O4" s="17">
        <f t="shared" si="3"/>
        <v>24768505.090315681</v>
      </c>
    </row>
    <row r="5" spans="1:15">
      <c r="A5" s="2">
        <v>4</v>
      </c>
      <c r="B5" s="2">
        <v>17000000</v>
      </c>
      <c r="C5" s="2">
        <v>1.9279999999999999</v>
      </c>
      <c r="D5" s="2">
        <v>0.82</v>
      </c>
      <c r="E5" s="2">
        <v>1600</v>
      </c>
      <c r="F5" s="2">
        <f>IFERROR(B5*C5*IF(D5="", Parameters!$B$2, D5)/Parameters!$B$6, 0)</f>
        <v>864093.1084926133</v>
      </c>
      <c r="G5" s="13">
        <f>F5*IF(E5="", Parameters!$B$2, E5)</f>
        <v>1382548973.5881813</v>
      </c>
      <c r="H5" s="2">
        <f>G5*Parameters!$B$4</f>
        <v>35946273.313292712</v>
      </c>
      <c r="I5" s="2">
        <f>1/POWER(1+Parameters!$B$5, A5)</f>
        <v>0.68301345536507052</v>
      </c>
      <c r="J5" s="6">
        <f t="shared" si="0"/>
        <v>24551788.343209278</v>
      </c>
      <c r="K5" s="6">
        <f>SUM($G$2:G5)</f>
        <v>5530195894.352725</v>
      </c>
      <c r="L5">
        <f t="shared" si="1"/>
        <v>820888.45306798257</v>
      </c>
      <c r="M5" s="14">
        <f>L5*IF(E5="",Parameters!$B$2,E5)</f>
        <v>1313421524.908772</v>
      </c>
      <c r="N5" s="17">
        <f t="shared" si="2"/>
        <v>32966880.275210179</v>
      </c>
      <c r="O5" s="17">
        <f t="shared" si="3"/>
        <v>22516822.80937789</v>
      </c>
    </row>
    <row r="6" spans="1:15">
      <c r="A6" s="2">
        <v>5</v>
      </c>
      <c r="B6" s="2">
        <v>17000000</v>
      </c>
      <c r="C6" s="2">
        <v>1.9279999999999999</v>
      </c>
      <c r="D6" s="2">
        <v>0.82</v>
      </c>
      <c r="E6" s="2">
        <v>1600</v>
      </c>
      <c r="F6" s="2">
        <f>IFERROR(B6*C6*IF(D6="", Parameters!$B$2, D6)/Parameters!$B$6, 0)</f>
        <v>864093.1084926133</v>
      </c>
      <c r="G6" s="13">
        <f>F6*IF(E6="", Parameters!$B$2, E6)</f>
        <v>1382548973.5881813</v>
      </c>
      <c r="H6" s="2">
        <f>G6*Parameters!$B$4</f>
        <v>35946273.313292712</v>
      </c>
      <c r="I6" s="2">
        <f>1/POWER(1+Parameters!$B$5, A6)</f>
        <v>0.62092132305915493</v>
      </c>
      <c r="J6" s="6">
        <f t="shared" si="0"/>
        <v>22319807.584735703</v>
      </c>
      <c r="K6" s="6">
        <f>SUM($G$2:G6)</f>
        <v>6912744867.9409065</v>
      </c>
      <c r="L6">
        <f t="shared" si="1"/>
        <v>820888.45306798257</v>
      </c>
      <c r="M6" s="14">
        <f>L6*IF(E6="",Parameters!$B$2,E6)</f>
        <v>1313421524.908772</v>
      </c>
      <c r="N6" s="17">
        <f t="shared" si="2"/>
        <v>32966880.275210179</v>
      </c>
      <c r="O6" s="17">
        <f t="shared" si="3"/>
        <v>20469838.917616263</v>
      </c>
    </row>
    <row r="7" spans="1:15">
      <c r="A7" s="2">
        <v>6</v>
      </c>
      <c r="B7" s="2">
        <v>17000000</v>
      </c>
      <c r="C7" s="2">
        <v>1.9279999999999999</v>
      </c>
      <c r="D7" s="2">
        <v>0.82</v>
      </c>
      <c r="E7" s="2">
        <v>1600</v>
      </c>
      <c r="F7" s="2">
        <f>IFERROR(B7*C7*IF(D7="", Parameters!$B$2, D7)/Parameters!$B$6, 0)</f>
        <v>864093.1084926133</v>
      </c>
      <c r="G7" s="13">
        <f>F7*IF(E7="", Parameters!$B$2, E7)</f>
        <v>1382548973.5881813</v>
      </c>
      <c r="H7" s="2">
        <f>G7*Parameters!$B$4</f>
        <v>35946273.313292712</v>
      </c>
      <c r="I7" s="2">
        <f>1/POWER(1+Parameters!$B$5, A7)</f>
        <v>0.56447393005377722</v>
      </c>
      <c r="J7" s="6">
        <f t="shared" si="0"/>
        <v>20290734.167941548</v>
      </c>
      <c r="K7" s="6">
        <f>SUM($G$2:G7)</f>
        <v>8295293841.529088</v>
      </c>
      <c r="L7">
        <f t="shared" si="1"/>
        <v>820888.45306798257</v>
      </c>
      <c r="M7" s="14">
        <f>L7*IF(E7="",Parameters!$B$2,E7)</f>
        <v>1313421524.908772</v>
      </c>
      <c r="N7" s="17">
        <f t="shared" si="2"/>
        <v>32966880.275210179</v>
      </c>
      <c r="O7" s="17">
        <f t="shared" si="3"/>
        <v>18608944.470560238</v>
      </c>
    </row>
    <row r="8" spans="1:15">
      <c r="A8" s="2">
        <v>7</v>
      </c>
      <c r="B8" s="2">
        <v>17000000</v>
      </c>
      <c r="C8" s="2">
        <v>1.9279999999999999</v>
      </c>
      <c r="D8" s="2">
        <v>0.82</v>
      </c>
      <c r="E8" s="2">
        <v>1600</v>
      </c>
      <c r="F8" s="2">
        <f>IFERROR(B8*C8*IF(D8="", Parameters!$B$2, D8)/Parameters!$B$6, 0)</f>
        <v>864093.1084926133</v>
      </c>
      <c r="G8" s="13">
        <f>F8*IF(E8="", Parameters!$B$2, E8)</f>
        <v>1382548973.5881813</v>
      </c>
      <c r="H8" s="2">
        <f>G8*Parameters!$B$4</f>
        <v>35946273.313292712</v>
      </c>
      <c r="I8" s="2">
        <f>1/POWER(1+Parameters!$B$5, A8)</f>
        <v>0.51315811823070645</v>
      </c>
      <c r="J8" s="6">
        <f t="shared" si="0"/>
        <v>18446121.970855951</v>
      </c>
      <c r="K8" s="6">
        <f>SUM($G$2:G8)</f>
        <v>9677842815.1172695</v>
      </c>
      <c r="L8">
        <f t="shared" si="1"/>
        <v>820888.45306798257</v>
      </c>
      <c r="M8" s="14">
        <f>L8*IF(E8="",Parameters!$B$2,E8)</f>
        <v>1313421524.908772</v>
      </c>
      <c r="N8" s="17">
        <f t="shared" si="2"/>
        <v>32966880.275210179</v>
      </c>
      <c r="O8" s="17">
        <f t="shared" si="3"/>
        <v>16917222.245963849</v>
      </c>
    </row>
    <row r="9" spans="1:15">
      <c r="A9" s="2">
        <v>8</v>
      </c>
      <c r="B9" s="2">
        <v>17000000</v>
      </c>
      <c r="C9" s="2">
        <v>1.9279999999999999</v>
      </c>
      <c r="D9" s="2">
        <v>0.82</v>
      </c>
      <c r="E9" s="2">
        <v>1600</v>
      </c>
      <c r="F9" s="2">
        <f>IFERROR(B9*C9*IF(D9="", Parameters!$B$2, D9)/Parameters!$B$6, 0)</f>
        <v>864093.1084926133</v>
      </c>
      <c r="G9" s="13">
        <f>F9*IF(E9="", Parameters!$B$2, E9)</f>
        <v>1382548973.5881813</v>
      </c>
      <c r="H9" s="2">
        <f>G9*Parameters!$B$4</f>
        <v>35946273.313292712</v>
      </c>
      <c r="I9" s="2">
        <f>1/POWER(1+Parameters!$B$5, A9)</f>
        <v>0.46650738020973315</v>
      </c>
      <c r="J9" s="6">
        <f t="shared" si="0"/>
        <v>16769201.791687228</v>
      </c>
      <c r="K9" s="6">
        <f>SUM($G$2:G9)</f>
        <v>11060391788.70545</v>
      </c>
      <c r="L9">
        <f t="shared" si="1"/>
        <v>820888.45306798257</v>
      </c>
      <c r="M9" s="14">
        <f>L9*IF(E9="",Parameters!$B$2,E9)</f>
        <v>1313421524.908772</v>
      </c>
      <c r="N9" s="17">
        <f t="shared" si="2"/>
        <v>32966880.275210179</v>
      </c>
      <c r="O9" s="17">
        <f t="shared" si="3"/>
        <v>15379292.950876227</v>
      </c>
    </row>
    <row r="10" spans="1:15">
      <c r="A10" s="2">
        <v>9</v>
      </c>
      <c r="B10" s="2">
        <v>17000000</v>
      </c>
      <c r="C10" s="2">
        <v>1.9279999999999999</v>
      </c>
      <c r="D10" s="2">
        <v>0.82</v>
      </c>
      <c r="E10" s="2">
        <v>1600</v>
      </c>
      <c r="F10" s="2">
        <f>IFERROR(B10*C10*IF(D10="", Parameters!$B$2, D10)/Parameters!$B$6, 0)</f>
        <v>864093.1084926133</v>
      </c>
      <c r="G10" s="13">
        <f>F10*IF(E10="", Parameters!$B$2, E10)</f>
        <v>1382548973.5881813</v>
      </c>
      <c r="H10" s="2">
        <f>G10*Parameters!$B$4</f>
        <v>35946273.313292712</v>
      </c>
      <c r="I10" s="2">
        <f>1/POWER(1+Parameters!$B$5, A10)</f>
        <v>0.42409761837248466</v>
      </c>
      <c r="J10" s="6">
        <f t="shared" si="0"/>
        <v>15244728.901533842</v>
      </c>
      <c r="K10" s="6">
        <f>SUM($G$2:G10)</f>
        <v>12442940762.293631</v>
      </c>
      <c r="L10">
        <f t="shared" si="1"/>
        <v>820888.45306798257</v>
      </c>
      <c r="M10" s="14">
        <f>L10*IF(E10="",Parameters!$B$2,E10)</f>
        <v>1313421524.908772</v>
      </c>
      <c r="N10" s="17">
        <f t="shared" si="2"/>
        <v>32966880.275210179</v>
      </c>
      <c r="O10" s="17">
        <f t="shared" si="3"/>
        <v>13981175.40988748</v>
      </c>
    </row>
    <row r="11" spans="1:15">
      <c r="A11" s="2">
        <v>10</v>
      </c>
      <c r="B11" s="2">
        <v>17000000</v>
      </c>
      <c r="C11" s="2">
        <v>1.9279999999999999</v>
      </c>
      <c r="D11" s="2">
        <v>0.82</v>
      </c>
      <c r="E11" s="2">
        <v>1600</v>
      </c>
      <c r="F11" s="2">
        <f>IFERROR(B11*C11*IF(D11="", Parameters!$B$2, D11)/Parameters!$B$6, 0)</f>
        <v>864093.1084926133</v>
      </c>
      <c r="G11" s="13">
        <f>F11*IF(E11="", Parameters!$B$2, E11)</f>
        <v>1382548973.5881813</v>
      </c>
      <c r="H11" s="2">
        <f>G11*Parameters!$B$4</f>
        <v>35946273.313292712</v>
      </c>
      <c r="I11" s="2">
        <f>1/POWER(1+Parameters!$B$5, A11)</f>
        <v>0.38554328942953148</v>
      </c>
      <c r="J11" s="6">
        <f t="shared" si="0"/>
        <v>13858844.455939855</v>
      </c>
      <c r="K11" s="6">
        <f>SUM($G$2:G11)</f>
        <v>13825489735.881811</v>
      </c>
      <c r="L11">
        <f t="shared" si="1"/>
        <v>820888.45306798257</v>
      </c>
      <c r="M11" s="14">
        <f>L11*IF(E11="",Parameters!$B$2,E11)</f>
        <v>1313421524.908772</v>
      </c>
      <c r="N11" s="17">
        <f t="shared" si="2"/>
        <v>32966880.275210179</v>
      </c>
      <c r="O11" s="17">
        <f t="shared" si="3"/>
        <v>12710159.46353407</v>
      </c>
    </row>
    <row r="12" spans="1:15">
      <c r="A12" s="2">
        <v>11</v>
      </c>
      <c r="B12" s="2">
        <v>17000000</v>
      </c>
      <c r="C12" s="2">
        <v>1.9279999999999999</v>
      </c>
      <c r="D12" s="2">
        <v>0.82</v>
      </c>
      <c r="E12" s="2">
        <v>1600</v>
      </c>
      <c r="F12" s="2">
        <f>IFERROR(B12*C12*IF(D12="", Parameters!$B$2, D12)/Parameters!$B$6, 0)</f>
        <v>864093.1084926133</v>
      </c>
      <c r="G12" s="13">
        <f>F12*IF(E12="", Parameters!$B$2, E12)</f>
        <v>1382548973.5881813</v>
      </c>
      <c r="H12" s="2">
        <f>G12*Parameters!$B$4</f>
        <v>35946273.313292712</v>
      </c>
      <c r="I12" s="2">
        <f>1/POWER(1+Parameters!$B$5, A12)</f>
        <v>0.3504938994813922</v>
      </c>
      <c r="J12" s="6">
        <f t="shared" si="0"/>
        <v>12598949.505399866</v>
      </c>
      <c r="K12" s="6">
        <f>SUM($G$2:G12)</f>
        <v>15208038709.469992</v>
      </c>
      <c r="L12">
        <f t="shared" si="1"/>
        <v>820888.45306798257</v>
      </c>
      <c r="M12" s="14">
        <f>L12*IF(E12="",Parameters!$B$2,E12)</f>
        <v>1313421524.908772</v>
      </c>
      <c r="N12" s="17">
        <f t="shared" si="2"/>
        <v>32966880.275210179</v>
      </c>
      <c r="O12" s="17">
        <f t="shared" si="3"/>
        <v>11554690.421394607</v>
      </c>
    </row>
    <row r="13" spans="1:15">
      <c r="A13" s="2">
        <v>12</v>
      </c>
      <c r="B13" s="2">
        <v>17000000</v>
      </c>
      <c r="C13" s="2">
        <v>1.9279999999999999</v>
      </c>
      <c r="D13" s="2">
        <v>0.82</v>
      </c>
      <c r="E13" s="2">
        <v>1600</v>
      </c>
      <c r="F13" s="2">
        <f>IFERROR(B13*C13*IF(D13="", Parameters!$B$2, D13)/Parameters!$B$6, 0)</f>
        <v>864093.1084926133</v>
      </c>
      <c r="G13" s="13">
        <f>F13*IF(E13="", Parameters!$B$2, E13)</f>
        <v>1382548973.5881813</v>
      </c>
      <c r="H13" s="2">
        <f>G13*Parameters!$B$4</f>
        <v>35946273.313292712</v>
      </c>
      <c r="I13" s="2">
        <f>1/POWER(1+Parameters!$B$5, A13)</f>
        <v>0.31863081771035656</v>
      </c>
      <c r="J13" s="6">
        <f t="shared" si="0"/>
        <v>11453590.459454425</v>
      </c>
      <c r="K13" s="6">
        <f>SUM($G$2:G13)</f>
        <v>16590587683.058172</v>
      </c>
      <c r="L13">
        <f t="shared" si="1"/>
        <v>820888.45306798257</v>
      </c>
      <c r="M13" s="14">
        <f>L13*IF(E13="",Parameters!$B$2,E13)</f>
        <v>1313421524.908772</v>
      </c>
      <c r="N13" s="17">
        <f t="shared" si="2"/>
        <v>32966880.275210179</v>
      </c>
      <c r="O13" s="17">
        <f t="shared" si="3"/>
        <v>10504264.019449644</v>
      </c>
    </row>
    <row r="14" spans="1:15">
      <c r="A14" s="2">
        <v>13</v>
      </c>
      <c r="B14" s="2">
        <v>17000000</v>
      </c>
      <c r="C14" s="2">
        <v>1.9279999999999999</v>
      </c>
      <c r="D14" s="2">
        <v>0.82</v>
      </c>
      <c r="E14" s="2">
        <v>1600</v>
      </c>
      <c r="F14" s="2">
        <f>IFERROR(B14*C14*IF(D14="", Parameters!$B$2, D14)/Parameters!$B$6, 0)</f>
        <v>864093.1084926133</v>
      </c>
      <c r="G14" s="13">
        <f>F14*IF(E14="", Parameters!$B$2, E14)</f>
        <v>1382548973.5881813</v>
      </c>
      <c r="H14" s="2">
        <f>G14*Parameters!$B$4</f>
        <v>35946273.313292712</v>
      </c>
      <c r="I14" s="2">
        <f>1/POWER(1+Parameters!$B$5, A14)</f>
        <v>0.28966437973668779</v>
      </c>
      <c r="J14" s="6">
        <f t="shared" si="0"/>
        <v>10412354.963140387</v>
      </c>
      <c r="K14" s="6">
        <f>SUM($G$2:G14)</f>
        <v>17973136656.646355</v>
      </c>
      <c r="L14">
        <f t="shared" si="1"/>
        <v>820888.45306798257</v>
      </c>
      <c r="M14" s="14">
        <f>L14*IF(E14="",Parameters!$B$2,E14)</f>
        <v>1313421524.908772</v>
      </c>
      <c r="N14" s="17">
        <f t="shared" si="2"/>
        <v>32966880.275210179</v>
      </c>
      <c r="O14" s="17">
        <f t="shared" si="3"/>
        <v>9549330.9267724045</v>
      </c>
    </row>
    <row r="15" spans="1:15">
      <c r="A15" s="2">
        <v>14</v>
      </c>
      <c r="B15" s="2">
        <v>17000000</v>
      </c>
      <c r="C15" s="2">
        <v>1.9279999999999999</v>
      </c>
      <c r="D15" s="2">
        <v>0.82</v>
      </c>
      <c r="E15" s="2">
        <v>1600</v>
      </c>
      <c r="F15" s="2">
        <f>IFERROR(B15*C15*IF(D15="", Parameters!$B$2, D15)/Parameters!$B$6, 0)</f>
        <v>864093.1084926133</v>
      </c>
      <c r="G15" s="13">
        <f>F15*IF(E15="", Parameters!$B$2, E15)</f>
        <v>1382548973.5881813</v>
      </c>
      <c r="H15" s="2">
        <f>G15*Parameters!$B$4</f>
        <v>35946273.313292712</v>
      </c>
      <c r="I15" s="2">
        <f>1/POWER(1+Parameters!$B$5, A15)</f>
        <v>0.26333125430607973</v>
      </c>
      <c r="J15" s="6">
        <f t="shared" si="0"/>
        <v>9465777.2392185312</v>
      </c>
      <c r="K15" s="6">
        <f>SUM($G$2:G15)</f>
        <v>19355685630.234535</v>
      </c>
      <c r="L15">
        <f t="shared" si="1"/>
        <v>820888.45306798257</v>
      </c>
      <c r="M15" s="14">
        <f>L15*IF(E15="",Parameters!$B$2,E15)</f>
        <v>1313421524.908772</v>
      </c>
      <c r="N15" s="17">
        <f t="shared" si="2"/>
        <v>32966880.275210179</v>
      </c>
      <c r="O15" s="17">
        <f t="shared" si="3"/>
        <v>8681209.9334294554</v>
      </c>
    </row>
    <row r="16" spans="1:15">
      <c r="A16" s="2">
        <v>15</v>
      </c>
      <c r="B16" s="2">
        <v>17000000</v>
      </c>
      <c r="C16" s="2">
        <v>1.9279999999999999</v>
      </c>
      <c r="D16" s="2">
        <v>0.82</v>
      </c>
      <c r="E16" s="2">
        <v>1600</v>
      </c>
      <c r="F16" s="2">
        <f>IFERROR(B16*C16*IF(D16="", Parameters!$B$2, D16)/Parameters!$B$6, 0)</f>
        <v>864093.1084926133</v>
      </c>
      <c r="G16" s="13">
        <f>F16*IF(E16="", Parameters!$B$2, E16)</f>
        <v>1382548973.5881813</v>
      </c>
      <c r="H16" s="2">
        <f>G16*Parameters!$B$4</f>
        <v>35946273.313292712</v>
      </c>
      <c r="I16" s="2">
        <f>1/POWER(1+Parameters!$B$5, A16)</f>
        <v>0.23939204936916339</v>
      </c>
      <c r="J16" s="6">
        <f t="shared" si="0"/>
        <v>8605252.0356532093</v>
      </c>
      <c r="K16" s="6">
        <f>SUM($G$2:G16)</f>
        <v>20738234603.822716</v>
      </c>
      <c r="L16">
        <f t="shared" si="1"/>
        <v>820888.45306798257</v>
      </c>
      <c r="M16" s="14">
        <f>L16*IF(E16="",Parameters!$B$2,E16)</f>
        <v>1313421524.908772</v>
      </c>
      <c r="N16" s="17">
        <f t="shared" si="2"/>
        <v>32966880.275210179</v>
      </c>
      <c r="O16" s="17">
        <f t="shared" si="3"/>
        <v>7892009.0303904144</v>
      </c>
    </row>
    <row r="17" spans="1:15">
      <c r="A17" s="2">
        <v>16</v>
      </c>
      <c r="B17" s="2">
        <v>17000000</v>
      </c>
      <c r="C17" s="2">
        <v>1.9279999999999999</v>
      </c>
      <c r="D17" s="2">
        <v>0.82</v>
      </c>
      <c r="E17" s="2">
        <v>1600</v>
      </c>
      <c r="F17" s="2">
        <f>IFERROR(B17*C17*IF(D17="", Parameters!$B$2, D17)/Parameters!$B$6, 0)</f>
        <v>864093.1084926133</v>
      </c>
      <c r="G17" s="13">
        <f>F17*IF(E17="", Parameters!$B$2, E17)</f>
        <v>1382548973.5881813</v>
      </c>
      <c r="H17" s="2">
        <f>G17*Parameters!$B$4</f>
        <v>35946273.313292712</v>
      </c>
      <c r="I17" s="2">
        <f>1/POWER(1+Parameters!$B$5, A17)</f>
        <v>0.21762913579014853</v>
      </c>
      <c r="J17" s="6">
        <f t="shared" si="0"/>
        <v>7822956.3960483717</v>
      </c>
      <c r="K17" s="6">
        <f>SUM($G$2:G17)</f>
        <v>22120783577.410896</v>
      </c>
      <c r="L17">
        <f t="shared" si="1"/>
        <v>820888.45306798257</v>
      </c>
      <c r="M17" s="14">
        <f>L17*IF(E17="",Parameters!$B$2,E17)</f>
        <v>1313421524.908772</v>
      </c>
      <c r="N17" s="17">
        <f t="shared" si="2"/>
        <v>32966880.275210179</v>
      </c>
      <c r="O17" s="17">
        <f t="shared" si="3"/>
        <v>7174553.6639912855</v>
      </c>
    </row>
    <row r="18" spans="1:15">
      <c r="A18" s="2">
        <v>17</v>
      </c>
      <c r="B18" s="2">
        <v>17000000</v>
      </c>
      <c r="C18" s="2">
        <v>1.9279999999999999</v>
      </c>
      <c r="D18" s="2">
        <v>0.82</v>
      </c>
      <c r="E18" s="2">
        <v>1600</v>
      </c>
      <c r="F18" s="2">
        <f>IFERROR(B18*C18*IF(D18="", Parameters!$B$2, D18)/Parameters!$B$6, 0)</f>
        <v>864093.1084926133</v>
      </c>
      <c r="G18" s="13">
        <f>F18*IF(E18="", Parameters!$B$2, E18)</f>
        <v>1382548973.5881813</v>
      </c>
      <c r="H18" s="2">
        <f>G18*Parameters!$B$4</f>
        <v>35946273.313292712</v>
      </c>
      <c r="I18" s="2">
        <f>1/POWER(1+Parameters!$B$5, A18)</f>
        <v>0.19784466890013502</v>
      </c>
      <c r="J18" s="6">
        <f t="shared" si="0"/>
        <v>7111778.5418621562</v>
      </c>
      <c r="K18" s="6">
        <f>SUM($G$2:G18)</f>
        <v>23503332550.999077</v>
      </c>
      <c r="L18">
        <f t="shared" si="1"/>
        <v>820888.45306798257</v>
      </c>
      <c r="M18" s="14">
        <f>L18*IF(E18="",Parameters!$B$2,E18)</f>
        <v>1313421524.908772</v>
      </c>
      <c r="N18" s="17">
        <f t="shared" si="2"/>
        <v>32966880.275210179</v>
      </c>
      <c r="O18" s="17">
        <f t="shared" si="3"/>
        <v>6522321.5127193499</v>
      </c>
    </row>
    <row r="19" spans="1:15">
      <c r="A19" s="2">
        <v>18</v>
      </c>
      <c r="B19" s="2">
        <v>17000000</v>
      </c>
      <c r="C19" s="2">
        <v>1.9279999999999999</v>
      </c>
      <c r="D19" s="2">
        <v>0.82</v>
      </c>
      <c r="E19" s="2">
        <v>1600</v>
      </c>
      <c r="F19" s="2">
        <f>IFERROR(B19*C19*IF(D19="", Parameters!$B$2, D19)/Parameters!$B$6, 0)</f>
        <v>864093.1084926133</v>
      </c>
      <c r="G19" s="13">
        <f>F19*IF(E19="", Parameters!$B$2, E19)</f>
        <v>1382548973.5881813</v>
      </c>
      <c r="H19" s="2">
        <f>G19*Parameters!$B$4</f>
        <v>35946273.313292712</v>
      </c>
      <c r="I19" s="2">
        <f>1/POWER(1+Parameters!$B$5, A19)</f>
        <v>0.17985878990921364</v>
      </c>
      <c r="J19" s="6">
        <f t="shared" si="0"/>
        <v>6465253.2198746866</v>
      </c>
      <c r="K19" s="6">
        <f>SUM($G$2:G19)</f>
        <v>24885881524.587257</v>
      </c>
      <c r="L19">
        <f t="shared" si="1"/>
        <v>820888.45306798257</v>
      </c>
      <c r="M19" s="14">
        <f>L19*IF(E19="",Parameters!$B$2,E19)</f>
        <v>1313421524.908772</v>
      </c>
      <c r="N19" s="17">
        <f t="shared" si="2"/>
        <v>32966880.275210179</v>
      </c>
      <c r="O19" s="17">
        <f t="shared" si="3"/>
        <v>5929383.1933812266</v>
      </c>
    </row>
    <row r="20" spans="1:15">
      <c r="A20" s="2">
        <v>19</v>
      </c>
      <c r="B20" s="2">
        <v>17000000</v>
      </c>
      <c r="C20" s="2">
        <v>1.9279999999999999</v>
      </c>
      <c r="D20" s="2">
        <v>0.82</v>
      </c>
      <c r="E20" s="2">
        <v>1600</v>
      </c>
      <c r="F20" s="2">
        <f>IFERROR(B20*C20*IF(D20="", Parameters!$B$2, D20)/Parameters!$B$6, 0)</f>
        <v>864093.1084926133</v>
      </c>
      <c r="G20" s="13">
        <f>F20*IF(E20="", Parameters!$B$2, E20)</f>
        <v>1382548973.5881813</v>
      </c>
      <c r="H20" s="2">
        <f>G20*Parameters!$B$4</f>
        <v>35946273.313292712</v>
      </c>
      <c r="I20" s="2">
        <f>1/POWER(1+Parameters!$B$5, A20)</f>
        <v>0.16350799082655781</v>
      </c>
      <c r="J20" s="6">
        <f t="shared" si="0"/>
        <v>5877502.9271588046</v>
      </c>
      <c r="K20" s="6">
        <f>SUM($G$2:G20)</f>
        <v>26268430498.175438</v>
      </c>
      <c r="L20">
        <f t="shared" si="1"/>
        <v>820888.45306798257</v>
      </c>
      <c r="M20" s="14">
        <f>L20*IF(E20="",Parameters!$B$2,E20)</f>
        <v>1313421524.908772</v>
      </c>
      <c r="N20" s="17">
        <f t="shared" si="2"/>
        <v>32966880.275210179</v>
      </c>
      <c r="O20" s="17">
        <f t="shared" si="3"/>
        <v>5390348.3576192958</v>
      </c>
    </row>
    <row r="21" spans="1:15">
      <c r="A21" s="2">
        <v>20</v>
      </c>
      <c r="B21" s="2">
        <v>17000000</v>
      </c>
      <c r="C21" s="2">
        <v>1.9279999999999999</v>
      </c>
      <c r="D21" s="2">
        <v>0.82</v>
      </c>
      <c r="E21" s="2">
        <v>1600</v>
      </c>
      <c r="F21" s="2">
        <f>IFERROR(B21*C21*IF(D21="", Parameters!$B$2, D21)/Parameters!$B$6, 0)</f>
        <v>864093.1084926133</v>
      </c>
      <c r="G21" s="13">
        <f>F21*IF(E21="", Parameters!$B$2, E21)</f>
        <v>1382548973.5881813</v>
      </c>
      <c r="H21" s="2">
        <f>G21*Parameters!$B$4</f>
        <v>35946273.313292712</v>
      </c>
      <c r="I21" s="2">
        <f>1/POWER(1+Parameters!$B$5, A21)</f>
        <v>0.14864362802414349</v>
      </c>
      <c r="J21" s="6">
        <f t="shared" si="0"/>
        <v>5343184.4792352775</v>
      </c>
      <c r="K21" s="6">
        <f>SUM($G$2:G21)</f>
        <v>27650979471.763618</v>
      </c>
      <c r="L21">
        <f t="shared" si="1"/>
        <v>820888.45306798257</v>
      </c>
      <c r="M21" s="14">
        <f>L21*IF(E21="",Parameters!$B$2,E21)</f>
        <v>1313421524.908772</v>
      </c>
      <c r="N21" s="17">
        <f t="shared" si="2"/>
        <v>32966880.275210179</v>
      </c>
      <c r="O21" s="17">
        <f t="shared" si="3"/>
        <v>4900316.6887448151</v>
      </c>
    </row>
    <row r="22" spans="1:15">
      <c r="A22" s="2">
        <v>21</v>
      </c>
      <c r="B22" s="2">
        <v>17000000</v>
      </c>
      <c r="C22" s="2">
        <v>1.9279999999999999</v>
      </c>
      <c r="D22" s="2">
        <v>0.82</v>
      </c>
      <c r="E22" s="2">
        <v>1600</v>
      </c>
      <c r="F22" s="2">
        <f>IFERROR(B22*C22*IF(D22="", Parameters!$B$2, D22)/Parameters!$B$6, 0)</f>
        <v>864093.1084926133</v>
      </c>
      <c r="G22" s="13">
        <f>F22*IF(E22="", Parameters!$B$2, E22)</f>
        <v>1382548973.5881813</v>
      </c>
      <c r="H22" s="2">
        <f>G22*Parameters!$B$4</f>
        <v>35946273.313292712</v>
      </c>
      <c r="I22" s="2">
        <f>1/POWER(1+Parameters!$B$5, A22)</f>
        <v>0.13513057093103953</v>
      </c>
      <c r="J22" s="6">
        <f t="shared" si="0"/>
        <v>4857440.435668434</v>
      </c>
      <c r="K22" s="6">
        <f>SUM($G$2:G22)</f>
        <v>29033528445.351799</v>
      </c>
      <c r="L22">
        <f t="shared" si="1"/>
        <v>820888.45306798257</v>
      </c>
      <c r="M22" s="14">
        <f>L22*IF(E22="",Parameters!$B$2,E22)</f>
        <v>1313421524.908772</v>
      </c>
      <c r="N22" s="17">
        <f t="shared" si="2"/>
        <v>32966880.275210179</v>
      </c>
      <c r="O22" s="17">
        <f t="shared" si="3"/>
        <v>4454833.3534043767</v>
      </c>
    </row>
    <row r="23" spans="1:15">
      <c r="A23" s="2">
        <v>22</v>
      </c>
      <c r="B23" s="2">
        <v>17000000</v>
      </c>
      <c r="C23" s="2">
        <v>1.9279999999999999</v>
      </c>
      <c r="D23" s="2">
        <v>0.82</v>
      </c>
      <c r="E23" s="2">
        <v>1600</v>
      </c>
      <c r="F23" s="2">
        <f>IFERROR(B23*C23*IF(D23="", Parameters!$B$2, D23)/Parameters!$B$6, 0)</f>
        <v>864093.1084926133</v>
      </c>
      <c r="G23" s="13">
        <f>F23*IF(E23="", Parameters!$B$2, E23)</f>
        <v>1382548973.5881813</v>
      </c>
      <c r="H23" s="2">
        <f>G23*Parameters!$B$4</f>
        <v>35946273.313292712</v>
      </c>
      <c r="I23" s="2">
        <f>1/POWER(1+Parameters!$B$5, A23)</f>
        <v>0.12284597357367227</v>
      </c>
      <c r="J23" s="6">
        <f t="shared" si="0"/>
        <v>4415854.941516757</v>
      </c>
      <c r="K23" s="6">
        <f>SUM($G$2:G23)</f>
        <v>30416077418.93998</v>
      </c>
      <c r="L23">
        <f t="shared" si="1"/>
        <v>820888.45306798257</v>
      </c>
      <c r="M23" s="14">
        <f>L23*IF(E23="",Parameters!$B$2,E23)</f>
        <v>1313421524.908772</v>
      </c>
      <c r="N23" s="17">
        <f t="shared" si="2"/>
        <v>32966880.275210179</v>
      </c>
      <c r="O23" s="17">
        <f t="shared" si="3"/>
        <v>4049848.5030948874</v>
      </c>
    </row>
    <row r="24" spans="1:15">
      <c r="A24" s="2">
        <v>23</v>
      </c>
      <c r="B24" s="2">
        <v>17000000</v>
      </c>
      <c r="C24" s="2">
        <v>1.9279999999999999</v>
      </c>
      <c r="D24" s="2">
        <v>0.82</v>
      </c>
      <c r="E24" s="2">
        <v>1600</v>
      </c>
      <c r="F24" s="2">
        <f>IFERROR(B24*C24*IF(D24="", Parameters!$B$2, D24)/Parameters!$B$6, 0)</f>
        <v>864093.1084926133</v>
      </c>
      <c r="G24" s="13">
        <f>F24*IF(E24="", Parameters!$B$2, E24)</f>
        <v>1382548973.5881813</v>
      </c>
      <c r="H24" s="2">
        <f>G24*Parameters!$B$4</f>
        <v>35946273.313292712</v>
      </c>
      <c r="I24" s="2">
        <f>1/POWER(1+Parameters!$B$5, A24)</f>
        <v>0.11167815779424752</v>
      </c>
      <c r="J24" s="6">
        <f t="shared" si="0"/>
        <v>4014413.5831970521</v>
      </c>
      <c r="K24" s="6">
        <f>SUM($G$2:G24)</f>
        <v>31798626392.52816</v>
      </c>
      <c r="L24">
        <f t="shared" si="1"/>
        <v>820888.45306798257</v>
      </c>
      <c r="M24" s="14">
        <f>L24*IF(E24="",Parameters!$B$2,E24)</f>
        <v>1313421524.908772</v>
      </c>
      <c r="N24" s="17">
        <f t="shared" si="2"/>
        <v>32966880.275210179</v>
      </c>
      <c r="O24" s="17">
        <f t="shared" si="3"/>
        <v>3681680.4573589885</v>
      </c>
    </row>
    <row r="25" spans="1:15">
      <c r="A25" s="2">
        <v>24</v>
      </c>
      <c r="B25" s="2">
        <v>17000000</v>
      </c>
      <c r="C25" s="2">
        <v>1.9279999999999999</v>
      </c>
      <c r="D25" s="2">
        <v>0.82</v>
      </c>
      <c r="E25" s="2">
        <v>1600</v>
      </c>
      <c r="F25" s="2">
        <f>IFERROR(B25*C25*IF(D25="", Parameters!$B$2, D25)/Parameters!$B$6, 0)</f>
        <v>864093.1084926133</v>
      </c>
      <c r="G25" s="13">
        <f>F25*IF(E25="", Parameters!$B$2, E25)</f>
        <v>1382548973.5881813</v>
      </c>
      <c r="H25" s="2">
        <f>G25*Parameters!$B$4</f>
        <v>35946273.313292712</v>
      </c>
      <c r="I25" s="2">
        <f>1/POWER(1+Parameters!$B$5, A25)</f>
        <v>0.10152559799477048</v>
      </c>
      <c r="J25" s="6">
        <f t="shared" si="0"/>
        <v>3649466.8938155025</v>
      </c>
      <c r="K25" s="6">
        <f>SUM($G$2:G25)</f>
        <v>33181175366.116341</v>
      </c>
      <c r="L25">
        <f t="shared" si="1"/>
        <v>820888.45306798257</v>
      </c>
      <c r="M25" s="14">
        <f>L25*IF(E25="",Parameters!$B$2,E25)</f>
        <v>1313421524.908772</v>
      </c>
      <c r="N25" s="17">
        <f t="shared" si="2"/>
        <v>32966880.275210179</v>
      </c>
      <c r="O25" s="17">
        <f t="shared" si="3"/>
        <v>3346982.233962717</v>
      </c>
    </row>
    <row r="26" spans="1:15">
      <c r="A26" s="2">
        <v>25</v>
      </c>
      <c r="B26" s="2">
        <v>17000000</v>
      </c>
      <c r="C26" s="2">
        <v>1.9279999999999999</v>
      </c>
      <c r="D26" s="2">
        <v>0.82</v>
      </c>
      <c r="E26" s="2">
        <v>1600</v>
      </c>
      <c r="F26" s="2">
        <f>IFERROR(B26*C26*IF(D26="", Parameters!$B$2, D26)/Parameters!$B$6, 0)</f>
        <v>864093.1084926133</v>
      </c>
      <c r="G26" s="13">
        <f>F26*IF(E26="", Parameters!$B$2, E26)</f>
        <v>1382548973.5881813</v>
      </c>
      <c r="H26" s="2">
        <f>G26*Parameters!$B$4</f>
        <v>35946273.313292712</v>
      </c>
      <c r="I26" s="2">
        <f>1/POWER(1+Parameters!$B$5, A26)</f>
        <v>9.2295998177064048E-2</v>
      </c>
      <c r="J26" s="6">
        <f t="shared" si="0"/>
        <v>3317697.1761959102</v>
      </c>
      <c r="K26" s="6">
        <f>SUM($G$2:G26)</f>
        <v>34563724339.704521</v>
      </c>
      <c r="L26">
        <f t="shared" si="1"/>
        <v>820888.45306798257</v>
      </c>
      <c r="M26" s="14">
        <f>L26*IF(E26="",Parameters!$B$2,E26)</f>
        <v>1313421524.908772</v>
      </c>
      <c r="N26" s="17">
        <f t="shared" si="2"/>
        <v>32966880.275210179</v>
      </c>
      <c r="O26" s="17">
        <f t="shared" si="3"/>
        <v>3042711.1217842875</v>
      </c>
    </row>
    <row r="27" spans="1:15">
      <c r="A27" s="2">
        <v>26</v>
      </c>
      <c r="B27" s="2">
        <v>17000000</v>
      </c>
      <c r="C27" s="2">
        <v>1.9279999999999999</v>
      </c>
      <c r="D27" s="2">
        <v>0.82</v>
      </c>
      <c r="E27" s="2">
        <v>1600</v>
      </c>
      <c r="F27" s="2">
        <f>IFERROR(B27*C27*IF(D27="", Parameters!$B$2, D27)/Parameters!$B$6, 0)</f>
        <v>864093.1084926133</v>
      </c>
      <c r="G27" s="13">
        <f>F27*IF(E27="", Parameters!$B$2, E27)</f>
        <v>1382548973.5881813</v>
      </c>
      <c r="H27" s="2">
        <f>G27*Parameters!$B$4</f>
        <v>35946273.313292712</v>
      </c>
      <c r="I27" s="2">
        <f>1/POWER(1+Parameters!$B$5, A27)</f>
        <v>8.3905452888240042E-2</v>
      </c>
      <c r="J27" s="6">
        <f t="shared" si="0"/>
        <v>3016088.3419962819</v>
      </c>
      <c r="K27" s="6">
        <f>SUM($G$2:G27)</f>
        <v>35946273313.292702</v>
      </c>
      <c r="L27">
        <f t="shared" si="1"/>
        <v>820888.45306798257</v>
      </c>
      <c r="M27" s="14">
        <f>L27*IF(E27="",Parameters!$B$2,E27)</f>
        <v>1313421524.908772</v>
      </c>
      <c r="N27" s="17">
        <f t="shared" si="2"/>
        <v>32966880.275210179</v>
      </c>
      <c r="O27" s="17">
        <f t="shared" si="3"/>
        <v>2766101.0198038975</v>
      </c>
    </row>
    <row r="28" spans="1:15">
      <c r="A28" s="2">
        <v>27</v>
      </c>
      <c r="B28" s="2">
        <v>17000000</v>
      </c>
      <c r="C28" s="2">
        <v>1.9279999999999999</v>
      </c>
      <c r="D28" s="2">
        <v>0.82</v>
      </c>
      <c r="E28" s="2">
        <v>1600</v>
      </c>
      <c r="F28" s="2">
        <f>IFERROR(B28*C28*IF(D28="", Parameters!$B$2, D28)/Parameters!$B$6, 0)</f>
        <v>864093.1084926133</v>
      </c>
      <c r="G28" s="13">
        <f>F28*IF(E28="", Parameters!$B$2, E28)</f>
        <v>1382548973.5881813</v>
      </c>
      <c r="H28" s="2">
        <f>G28*Parameters!$B$4</f>
        <v>35946273.313292712</v>
      </c>
      <c r="I28" s="2">
        <f>1/POWER(1+Parameters!$B$5, A28)</f>
        <v>7.6277684443854576E-2</v>
      </c>
      <c r="J28" s="6">
        <f t="shared" si="0"/>
        <v>2741898.4927238924</v>
      </c>
      <c r="K28" s="6">
        <f>SUM($G$2:G28)</f>
        <v>37328822286.880882</v>
      </c>
      <c r="L28">
        <f t="shared" si="1"/>
        <v>820888.45306798257</v>
      </c>
      <c r="M28" s="14">
        <f>L28*IF(E28="",Parameters!$B$2,E28)</f>
        <v>1313421524.908772</v>
      </c>
      <c r="N28" s="17">
        <f t="shared" si="2"/>
        <v>32966880.275210179</v>
      </c>
      <c r="O28" s="17">
        <f t="shared" si="3"/>
        <v>2514637.2907308158</v>
      </c>
    </row>
    <row r="29" spans="1:15">
      <c r="A29" s="2">
        <v>28</v>
      </c>
      <c r="B29" s="2">
        <v>17000000</v>
      </c>
      <c r="C29" s="2">
        <v>1.9279999999999999</v>
      </c>
      <c r="D29" s="2">
        <v>0.82</v>
      </c>
      <c r="E29" s="2">
        <v>1600</v>
      </c>
      <c r="F29" s="2">
        <f>IFERROR(B29*C29*IF(D29="", Parameters!$B$2, D29)/Parameters!$B$6, 0)</f>
        <v>864093.1084926133</v>
      </c>
      <c r="G29" s="13">
        <f>F29*IF(E29="", Parameters!$B$2, E29)</f>
        <v>1382548973.5881813</v>
      </c>
      <c r="H29" s="2">
        <f>G29*Parameters!$B$4</f>
        <v>35946273.313292712</v>
      </c>
      <c r="I29" s="2">
        <f>1/POWER(1+Parameters!$B$5, A29)</f>
        <v>6.9343349494413245E-2</v>
      </c>
      <c r="J29" s="6">
        <f t="shared" si="0"/>
        <v>2492634.9933853564</v>
      </c>
      <c r="K29" s="6">
        <f>SUM($G$2:G29)</f>
        <v>38711371260.469063</v>
      </c>
      <c r="L29">
        <f t="shared" si="1"/>
        <v>820888.45306798257</v>
      </c>
      <c r="M29" s="14">
        <f>L29*IF(E29="",Parameters!$B$2,E29)</f>
        <v>1313421524.908772</v>
      </c>
      <c r="N29" s="17">
        <f t="shared" si="2"/>
        <v>32966880.275210179</v>
      </c>
      <c r="O29" s="17">
        <f t="shared" si="3"/>
        <v>2286033.900664378</v>
      </c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38711371260.469063</v>
      </c>
      <c r="H39">
        <f>SUM(H2:H33)</f>
        <v>1006495652.7721965</v>
      </c>
      <c r="J39" s="11">
        <f>SUM(J2:J29)</f>
        <v>334536383.19907326</v>
      </c>
      <c r="O39" s="11">
        <f>SUM(O2:O29)</f>
        <v>306808463.74545789</v>
      </c>
    </row>
    <row r="40" spans="1:15">
      <c r="F40" s="3" t="s">
        <v>16</v>
      </c>
      <c r="G40" s="10">
        <f>G39</f>
        <v>38711371260.469063</v>
      </c>
    </row>
    <row r="41" spans="1:15">
      <c r="F41" s="3" t="s">
        <v>17</v>
      </c>
      <c r="G41" s="10">
        <f>H39</f>
        <v>1006495652.7721965</v>
      </c>
    </row>
    <row r="42" spans="1:15">
      <c r="F42" s="3" t="s">
        <v>9</v>
      </c>
      <c r="G42" s="10">
        <f>J39</f>
        <v>334536383.19907326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10A0-C52D-4C37-941E-F7D90FD646C8}">
  <sheetPr codeName="Sheet12"/>
  <dimension ref="A1:O42"/>
  <sheetViews>
    <sheetView topLeftCell="A9" workbookViewId="0">
      <pane xSplit="1" topLeftCell="E1" activePane="topRight" state="frozen"/>
      <selection pane="topRight" activeCell="O39" sqref="O39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19000000</v>
      </c>
      <c r="C2" s="2">
        <v>1.917</v>
      </c>
      <c r="D2" s="2">
        <v>0.82</v>
      </c>
      <c r="E2" s="2">
        <v>1600</v>
      </c>
      <c r="F2" s="2">
        <f>IFERROR(B2*C2*IF(D2="", Parameters!$B$2, D2)/Parameters!$B$6, 0)</f>
        <v>960241.13041940611</v>
      </c>
      <c r="G2" s="13">
        <f>F2*IF(E2="", Parameters!$B$2, E2)</f>
        <v>1536385808.6710498</v>
      </c>
      <c r="H2" s="2">
        <f>G2*Parameters!$B$4</f>
        <v>39946031.025447294</v>
      </c>
      <c r="I2" s="2">
        <f>1/POWER(1+Parameters!$B$5, A2)</f>
        <v>0.90909090909090906</v>
      </c>
      <c r="J2" s="6">
        <f t="shared" ref="J2:J33" si="0">H2*I2</f>
        <v>36314573.659497537</v>
      </c>
      <c r="K2" s="6">
        <f>SUM($G$2:G2)</f>
        <v>1536385808.6710498</v>
      </c>
      <c r="L2">
        <f>F2*0.95</f>
        <v>912229.0738984358</v>
      </c>
      <c r="M2" s="14">
        <f>L2*IF(E2="",Parameters!$B$2,E2)</f>
        <v>1459566518.2374973</v>
      </c>
      <c r="N2" s="17">
        <f>M2*0.0251</f>
        <v>36635119.607761182</v>
      </c>
      <c r="O2" s="17">
        <f>N2*I2</f>
        <v>33304654.188873801</v>
      </c>
    </row>
    <row r="3" spans="1:15">
      <c r="A3" s="2">
        <v>2</v>
      </c>
      <c r="B3" s="2">
        <v>19000000</v>
      </c>
      <c r="C3" s="2">
        <v>1.917</v>
      </c>
      <c r="D3" s="2">
        <v>0.82</v>
      </c>
      <c r="E3" s="2">
        <v>1600</v>
      </c>
      <c r="F3" s="2">
        <f>IFERROR(B3*C3*IF(D3="", Parameters!$B$2, D3)/Parameters!$B$6, 0)</f>
        <v>960241.13041940611</v>
      </c>
      <c r="G3" s="13">
        <f>F3*IF(E3="", Parameters!$B$2, E3)</f>
        <v>1536385808.6710498</v>
      </c>
      <c r="H3" s="2">
        <f>G3*Parameters!$B$4</f>
        <v>39946031.025447294</v>
      </c>
      <c r="I3" s="2">
        <f>1/POWER(1+Parameters!$B$5, A3)</f>
        <v>0.82644628099173545</v>
      </c>
      <c r="J3" s="6">
        <f t="shared" si="0"/>
        <v>33013248.781361397</v>
      </c>
      <c r="K3" s="6">
        <f>SUM($G$2:G3)</f>
        <v>3072771617.3420997</v>
      </c>
      <c r="L3">
        <f t="shared" ref="L3:L33" si="1">F3*0.95</f>
        <v>912229.0738984358</v>
      </c>
      <c r="M3" s="14">
        <f>L3*IF(E3="",Parameters!$B$2,E3)</f>
        <v>1459566518.2374973</v>
      </c>
      <c r="N3" s="17">
        <f t="shared" ref="N3:N29" si="2">M3*0.0251</f>
        <v>36635119.607761182</v>
      </c>
      <c r="O3" s="17">
        <f t="shared" ref="O3:O29" si="3">N3*I3</f>
        <v>30276958.353521634</v>
      </c>
    </row>
    <row r="4" spans="1:15">
      <c r="A4" s="2">
        <v>3</v>
      </c>
      <c r="B4" s="2">
        <v>19000000</v>
      </c>
      <c r="C4" s="2">
        <v>1.917</v>
      </c>
      <c r="D4" s="2">
        <v>0.82</v>
      </c>
      <c r="E4" s="2">
        <v>1600</v>
      </c>
      <c r="F4" s="2">
        <f>IFERROR(B4*C4*IF(D4="", Parameters!$B$2, D4)/Parameters!$B$6, 0)</f>
        <v>960241.13041940611</v>
      </c>
      <c r="G4" s="13">
        <f>F4*IF(E4="", Parameters!$B$2, E4)</f>
        <v>1536385808.6710498</v>
      </c>
      <c r="H4" s="2">
        <f>G4*Parameters!$B$4</f>
        <v>39946031.025447294</v>
      </c>
      <c r="I4" s="2">
        <f>1/POWER(1+Parameters!$B$5, A4)</f>
        <v>0.75131480090157754</v>
      </c>
      <c r="J4" s="6">
        <f t="shared" si="0"/>
        <v>30012044.346692175</v>
      </c>
      <c r="K4" s="6">
        <f>SUM($G$2:G4)</f>
        <v>4609157426.0131493</v>
      </c>
      <c r="L4">
        <f t="shared" si="1"/>
        <v>912229.0738984358</v>
      </c>
      <c r="M4" s="14">
        <f>L4*IF(E4="",Parameters!$B$2,E4)</f>
        <v>1459566518.2374973</v>
      </c>
      <c r="N4" s="17">
        <f t="shared" si="2"/>
        <v>36635119.607761182</v>
      </c>
      <c r="O4" s="17">
        <f t="shared" si="3"/>
        <v>27524507.594110571</v>
      </c>
    </row>
    <row r="5" spans="1:15">
      <c r="A5" s="2">
        <v>4</v>
      </c>
      <c r="B5" s="2">
        <v>19000000</v>
      </c>
      <c r="C5" s="2">
        <v>1.917</v>
      </c>
      <c r="D5" s="2">
        <v>0.82</v>
      </c>
      <c r="E5" s="2">
        <v>1600</v>
      </c>
      <c r="F5" s="2">
        <f>IFERROR(B5*C5*IF(D5="", Parameters!$B$2, D5)/Parameters!$B$6, 0)</f>
        <v>960241.13041940611</v>
      </c>
      <c r="G5" s="13">
        <f>F5*IF(E5="", Parameters!$B$2, E5)</f>
        <v>1536385808.6710498</v>
      </c>
      <c r="H5" s="2">
        <f>G5*Parameters!$B$4</f>
        <v>39946031.025447294</v>
      </c>
      <c r="I5" s="2">
        <f>1/POWER(1+Parameters!$B$5, A5)</f>
        <v>0.68301345536507052</v>
      </c>
      <c r="J5" s="6">
        <f t="shared" si="0"/>
        <v>27283676.678811066</v>
      </c>
      <c r="K5" s="6">
        <f>SUM($G$2:G5)</f>
        <v>6145543234.6841993</v>
      </c>
      <c r="L5">
        <f t="shared" si="1"/>
        <v>912229.0738984358</v>
      </c>
      <c r="M5" s="14">
        <f>L5*IF(E5="",Parameters!$B$2,E5)</f>
        <v>1459566518.2374973</v>
      </c>
      <c r="N5" s="17">
        <f t="shared" si="2"/>
        <v>36635119.607761182</v>
      </c>
      <c r="O5" s="17">
        <f t="shared" si="3"/>
        <v>25022279.631009612</v>
      </c>
    </row>
    <row r="6" spans="1:15">
      <c r="A6" s="2">
        <v>5</v>
      </c>
      <c r="B6" s="2">
        <v>19000000</v>
      </c>
      <c r="C6" s="2">
        <v>1.917</v>
      </c>
      <c r="D6" s="2">
        <v>0.82</v>
      </c>
      <c r="E6" s="2">
        <v>1600</v>
      </c>
      <c r="F6" s="2">
        <f>IFERROR(B6*C6*IF(D6="", Parameters!$B$2, D6)/Parameters!$B$6, 0)</f>
        <v>960241.13041940611</v>
      </c>
      <c r="G6" s="13">
        <f>F6*IF(E6="", Parameters!$B$2, E6)</f>
        <v>1536385808.6710498</v>
      </c>
      <c r="H6" s="2">
        <f>G6*Parameters!$B$4</f>
        <v>39946031.025447294</v>
      </c>
      <c r="I6" s="2">
        <f>1/POWER(1+Parameters!$B$5, A6)</f>
        <v>0.62092132305915493</v>
      </c>
      <c r="J6" s="6">
        <f t="shared" si="0"/>
        <v>24803342.435282785</v>
      </c>
      <c r="K6" s="6">
        <f>SUM($G$2:G6)</f>
        <v>7681929043.3552494</v>
      </c>
      <c r="L6">
        <f t="shared" si="1"/>
        <v>912229.0738984358</v>
      </c>
      <c r="M6" s="14">
        <f>L6*IF(E6="",Parameters!$B$2,E6)</f>
        <v>1459566518.2374973</v>
      </c>
      <c r="N6" s="17">
        <f t="shared" si="2"/>
        <v>36635119.607761182</v>
      </c>
      <c r="O6" s="17">
        <f t="shared" si="3"/>
        <v>22747526.937281463</v>
      </c>
    </row>
    <row r="7" spans="1:15">
      <c r="A7" s="2">
        <v>6</v>
      </c>
      <c r="B7" s="2">
        <v>19000000</v>
      </c>
      <c r="C7" s="2">
        <v>1.917</v>
      </c>
      <c r="D7" s="2">
        <v>0.82</v>
      </c>
      <c r="E7" s="2">
        <v>1600</v>
      </c>
      <c r="F7" s="2">
        <f>IFERROR(B7*C7*IF(D7="", Parameters!$B$2, D7)/Parameters!$B$6, 0)</f>
        <v>960241.13041940611</v>
      </c>
      <c r="G7" s="13">
        <f>F7*IF(E7="", Parameters!$B$2, E7)</f>
        <v>1536385808.6710498</v>
      </c>
      <c r="H7" s="2">
        <f>G7*Parameters!$B$4</f>
        <v>39946031.025447294</v>
      </c>
      <c r="I7" s="2">
        <f>1/POWER(1+Parameters!$B$5, A7)</f>
        <v>0.56447393005377722</v>
      </c>
      <c r="J7" s="6">
        <f t="shared" si="0"/>
        <v>22548493.12298435</v>
      </c>
      <c r="K7" s="6">
        <f>SUM($G$2:G7)</f>
        <v>9218314852.0262985</v>
      </c>
      <c r="L7">
        <f t="shared" si="1"/>
        <v>912229.0738984358</v>
      </c>
      <c r="M7" s="14">
        <f>L7*IF(E7="",Parameters!$B$2,E7)</f>
        <v>1459566518.2374973</v>
      </c>
      <c r="N7" s="17">
        <f t="shared" si="2"/>
        <v>36635119.607761182</v>
      </c>
      <c r="O7" s="17">
        <f t="shared" si="3"/>
        <v>20679569.942983147</v>
      </c>
    </row>
    <row r="8" spans="1:15">
      <c r="A8" s="2">
        <v>7</v>
      </c>
      <c r="B8" s="2">
        <v>19000000</v>
      </c>
      <c r="C8" s="2">
        <v>1.917</v>
      </c>
      <c r="D8" s="2">
        <v>0.82</v>
      </c>
      <c r="E8" s="2">
        <v>1600</v>
      </c>
      <c r="F8" s="2">
        <f>IFERROR(B8*C8*IF(D8="", Parameters!$B$2, D8)/Parameters!$B$6, 0)</f>
        <v>960241.13041940611</v>
      </c>
      <c r="G8" s="13">
        <f>F8*IF(E8="", Parameters!$B$2, E8)</f>
        <v>1536385808.6710498</v>
      </c>
      <c r="H8" s="2">
        <f>G8*Parameters!$B$4</f>
        <v>39946031.025447294</v>
      </c>
      <c r="I8" s="2">
        <f>1/POWER(1+Parameters!$B$5, A8)</f>
        <v>0.51315811823070645</v>
      </c>
      <c r="J8" s="6">
        <f t="shared" si="0"/>
        <v>20498630.111803949</v>
      </c>
      <c r="K8" s="6">
        <f>SUM($G$2:G8)</f>
        <v>10754700660.697348</v>
      </c>
      <c r="L8">
        <f t="shared" si="1"/>
        <v>912229.0738984358</v>
      </c>
      <c r="M8" s="14">
        <f>L8*IF(E8="",Parameters!$B$2,E8)</f>
        <v>1459566518.2374973</v>
      </c>
      <c r="N8" s="17">
        <f t="shared" si="2"/>
        <v>36635119.607761182</v>
      </c>
      <c r="O8" s="17">
        <f t="shared" si="3"/>
        <v>18799609.039075583</v>
      </c>
    </row>
    <row r="9" spans="1:15">
      <c r="A9" s="2">
        <v>8</v>
      </c>
      <c r="B9" s="2">
        <v>19000000</v>
      </c>
      <c r="C9" s="2">
        <v>1.917</v>
      </c>
      <c r="D9" s="2">
        <v>0.82</v>
      </c>
      <c r="E9" s="2">
        <v>1600</v>
      </c>
      <c r="F9" s="2">
        <f>IFERROR(B9*C9*IF(D9="", Parameters!$B$2, D9)/Parameters!$B$6, 0)</f>
        <v>960241.13041940611</v>
      </c>
      <c r="G9" s="13">
        <f>F9*IF(E9="", Parameters!$B$2, E9)</f>
        <v>1536385808.6710498</v>
      </c>
      <c r="H9" s="2">
        <f>G9*Parameters!$B$4</f>
        <v>39946031.025447294</v>
      </c>
      <c r="I9" s="2">
        <f>1/POWER(1+Parameters!$B$5, A9)</f>
        <v>0.46650738020973315</v>
      </c>
      <c r="J9" s="6">
        <f t="shared" si="0"/>
        <v>18635118.283458136</v>
      </c>
      <c r="K9" s="6">
        <f>SUM($G$2:G9)</f>
        <v>12291086469.368397</v>
      </c>
      <c r="L9">
        <f t="shared" si="1"/>
        <v>912229.0738984358</v>
      </c>
      <c r="M9" s="14">
        <f>L9*IF(E9="",Parameters!$B$2,E9)</f>
        <v>1459566518.2374973</v>
      </c>
      <c r="N9" s="17">
        <f t="shared" si="2"/>
        <v>36635119.607761182</v>
      </c>
      <c r="O9" s="17">
        <f t="shared" si="3"/>
        <v>17090553.671886895</v>
      </c>
    </row>
    <row r="10" spans="1:15">
      <c r="A10" s="2">
        <v>9</v>
      </c>
      <c r="B10" s="2">
        <v>19000000</v>
      </c>
      <c r="C10" s="2">
        <v>1.917</v>
      </c>
      <c r="D10" s="2">
        <v>0.82</v>
      </c>
      <c r="E10" s="2">
        <v>1600</v>
      </c>
      <c r="F10" s="2">
        <f>IFERROR(B10*C10*IF(D10="", Parameters!$B$2, D10)/Parameters!$B$6, 0)</f>
        <v>960241.13041940611</v>
      </c>
      <c r="G10" s="13">
        <f>F10*IF(E10="", Parameters!$B$2, E10)</f>
        <v>1536385808.6710498</v>
      </c>
      <c r="H10" s="2">
        <f>G10*Parameters!$B$4</f>
        <v>39946031.025447294</v>
      </c>
      <c r="I10" s="2">
        <f>1/POWER(1+Parameters!$B$5, A10)</f>
        <v>0.42409761837248466</v>
      </c>
      <c r="J10" s="6">
        <f t="shared" si="0"/>
        <v>16941016.621325579</v>
      </c>
      <c r="K10" s="6">
        <f>SUM($G$2:G10)</f>
        <v>13827472278.039446</v>
      </c>
      <c r="L10">
        <f t="shared" si="1"/>
        <v>912229.0738984358</v>
      </c>
      <c r="M10" s="14">
        <f>L10*IF(E10="",Parameters!$B$2,E10)</f>
        <v>1459566518.2374973</v>
      </c>
      <c r="N10" s="17">
        <f t="shared" si="2"/>
        <v>36635119.607761182</v>
      </c>
      <c r="O10" s="17">
        <f t="shared" si="3"/>
        <v>15536866.974442631</v>
      </c>
    </row>
    <row r="11" spans="1:15">
      <c r="A11" s="2">
        <v>10</v>
      </c>
      <c r="B11" s="2">
        <v>19000000</v>
      </c>
      <c r="C11" s="2">
        <v>1.917</v>
      </c>
      <c r="D11" s="2">
        <v>0.82</v>
      </c>
      <c r="E11" s="2">
        <v>1600</v>
      </c>
      <c r="F11" s="2">
        <f>IFERROR(B11*C11*IF(D11="", Parameters!$B$2, D11)/Parameters!$B$6, 0)</f>
        <v>960241.13041940611</v>
      </c>
      <c r="G11" s="13">
        <f>F11*IF(E11="", Parameters!$B$2, E11)</f>
        <v>1536385808.6710498</v>
      </c>
      <c r="H11" s="2">
        <f>G11*Parameters!$B$4</f>
        <v>39946031.025447294</v>
      </c>
      <c r="I11" s="2">
        <f>1/POWER(1+Parameters!$B$5, A11)</f>
        <v>0.38554328942953148</v>
      </c>
      <c r="J11" s="6">
        <f t="shared" si="0"/>
        <v>15400924.201205071</v>
      </c>
      <c r="K11" s="6">
        <f>SUM($G$2:G11)</f>
        <v>15363858086.710495</v>
      </c>
      <c r="L11">
        <f t="shared" si="1"/>
        <v>912229.0738984358</v>
      </c>
      <c r="M11" s="14">
        <f>L11*IF(E11="",Parameters!$B$2,E11)</f>
        <v>1459566518.2374973</v>
      </c>
      <c r="N11" s="17">
        <f t="shared" si="2"/>
        <v>36635119.607761182</v>
      </c>
      <c r="O11" s="17">
        <f t="shared" si="3"/>
        <v>14124424.522220572</v>
      </c>
    </row>
    <row r="12" spans="1:15">
      <c r="A12" s="2">
        <v>11</v>
      </c>
      <c r="B12" s="2">
        <v>19000000</v>
      </c>
      <c r="C12" s="2">
        <v>1.917</v>
      </c>
      <c r="D12" s="2">
        <v>0.82</v>
      </c>
      <c r="E12" s="2">
        <v>1600</v>
      </c>
      <c r="F12" s="2">
        <f>IFERROR(B12*C12*IF(D12="", Parameters!$B$2, D12)/Parameters!$B$6, 0)</f>
        <v>960241.13041940611</v>
      </c>
      <c r="G12" s="13">
        <f>F12*IF(E12="", Parameters!$B$2, E12)</f>
        <v>1536385808.6710498</v>
      </c>
      <c r="H12" s="2">
        <f>G12*Parameters!$B$4</f>
        <v>39946031.025447294</v>
      </c>
      <c r="I12" s="2">
        <f>1/POWER(1+Parameters!$B$5, A12)</f>
        <v>0.3504938994813922</v>
      </c>
      <c r="J12" s="6">
        <f t="shared" si="0"/>
        <v>14000840.182913698</v>
      </c>
      <c r="K12" s="6">
        <f>SUM($G$2:G12)</f>
        <v>16900243895.381544</v>
      </c>
      <c r="L12">
        <f t="shared" si="1"/>
        <v>912229.0738984358</v>
      </c>
      <c r="M12" s="14">
        <f>L12*IF(E12="",Parameters!$B$2,E12)</f>
        <v>1459566518.2374973</v>
      </c>
      <c r="N12" s="17">
        <f t="shared" si="2"/>
        <v>36635119.607761182</v>
      </c>
      <c r="O12" s="17">
        <f t="shared" si="3"/>
        <v>12840385.929291429</v>
      </c>
    </row>
    <row r="13" spans="1:15">
      <c r="A13" s="2">
        <v>12</v>
      </c>
      <c r="B13" s="2">
        <v>19000000</v>
      </c>
      <c r="C13" s="2">
        <v>1.917</v>
      </c>
      <c r="D13" s="2">
        <v>0.82</v>
      </c>
      <c r="E13" s="2">
        <v>1600</v>
      </c>
      <c r="F13" s="2">
        <f>IFERROR(B13*C13*IF(D13="", Parameters!$B$2, D13)/Parameters!$B$6, 0)</f>
        <v>960241.13041940611</v>
      </c>
      <c r="G13" s="13">
        <f>F13*IF(E13="", Parameters!$B$2, E13)</f>
        <v>1536385808.6710498</v>
      </c>
      <c r="H13" s="2">
        <f>G13*Parameters!$B$4</f>
        <v>39946031.025447294</v>
      </c>
      <c r="I13" s="2">
        <f>1/POWER(1+Parameters!$B$5, A13)</f>
        <v>0.31863081771035656</v>
      </c>
      <c r="J13" s="6">
        <f t="shared" si="0"/>
        <v>12728036.529921545</v>
      </c>
      <c r="K13" s="6">
        <f>SUM($G$2:G13)</f>
        <v>18436629704.052593</v>
      </c>
      <c r="L13">
        <f t="shared" si="1"/>
        <v>912229.0738984358</v>
      </c>
      <c r="M13" s="14">
        <f>L13*IF(E13="",Parameters!$B$2,E13)</f>
        <v>1459566518.2374973</v>
      </c>
      <c r="N13" s="17">
        <f t="shared" si="2"/>
        <v>36635119.607761182</v>
      </c>
      <c r="O13" s="17">
        <f t="shared" si="3"/>
        <v>11673078.117537662</v>
      </c>
    </row>
    <row r="14" spans="1:15">
      <c r="A14" s="2">
        <v>13</v>
      </c>
      <c r="B14" s="2">
        <v>19000000</v>
      </c>
      <c r="C14" s="2">
        <v>1.917</v>
      </c>
      <c r="D14" s="2">
        <v>0.82</v>
      </c>
      <c r="E14" s="2">
        <v>1600</v>
      </c>
      <c r="F14" s="2">
        <f>IFERROR(B14*C14*IF(D14="", Parameters!$B$2, D14)/Parameters!$B$6, 0)</f>
        <v>960241.13041940611</v>
      </c>
      <c r="G14" s="13">
        <f>F14*IF(E14="", Parameters!$B$2, E14)</f>
        <v>1536385808.6710498</v>
      </c>
      <c r="H14" s="2">
        <f>G14*Parameters!$B$4</f>
        <v>39946031.025447294</v>
      </c>
      <c r="I14" s="2">
        <f>1/POWER(1+Parameters!$B$5, A14)</f>
        <v>0.28966437973668779</v>
      </c>
      <c r="J14" s="6">
        <f t="shared" si="0"/>
        <v>11570942.299928676</v>
      </c>
      <c r="K14" s="6">
        <f>SUM($G$2:G14)</f>
        <v>19973015512.723644</v>
      </c>
      <c r="L14">
        <f t="shared" si="1"/>
        <v>912229.0738984358</v>
      </c>
      <c r="M14" s="14">
        <f>L14*IF(E14="",Parameters!$B$2,E14)</f>
        <v>1459566518.2374973</v>
      </c>
      <c r="N14" s="17">
        <f t="shared" si="2"/>
        <v>36635119.607761182</v>
      </c>
      <c r="O14" s="17">
        <f t="shared" si="3"/>
        <v>10611889.197761511</v>
      </c>
    </row>
    <row r="15" spans="1:15">
      <c r="A15" s="2">
        <v>14</v>
      </c>
      <c r="B15" s="2">
        <v>19000000</v>
      </c>
      <c r="C15" s="2">
        <v>1.917</v>
      </c>
      <c r="D15" s="2">
        <v>0.82</v>
      </c>
      <c r="E15" s="2">
        <v>1600</v>
      </c>
      <c r="F15" s="2">
        <f>IFERROR(B15*C15*IF(D15="", Parameters!$B$2, D15)/Parameters!$B$6, 0)</f>
        <v>960241.13041940611</v>
      </c>
      <c r="G15" s="13">
        <f>F15*IF(E15="", Parameters!$B$2, E15)</f>
        <v>1536385808.6710498</v>
      </c>
      <c r="H15" s="2">
        <f>G15*Parameters!$B$4</f>
        <v>39946031.025447294</v>
      </c>
      <c r="I15" s="2">
        <f>1/POWER(1+Parameters!$B$5, A15)</f>
        <v>0.26333125430607973</v>
      </c>
      <c r="J15" s="6">
        <f t="shared" si="0"/>
        <v>10519038.454480613</v>
      </c>
      <c r="K15" s="6">
        <f>SUM($G$2:G15)</f>
        <v>21509401321.394695</v>
      </c>
      <c r="L15">
        <f t="shared" si="1"/>
        <v>912229.0738984358</v>
      </c>
      <c r="M15" s="14">
        <f>L15*IF(E15="",Parameters!$B$2,E15)</f>
        <v>1459566518.2374973</v>
      </c>
      <c r="N15" s="17">
        <f t="shared" si="2"/>
        <v>36635119.607761182</v>
      </c>
      <c r="O15" s="17">
        <f t="shared" si="3"/>
        <v>9647171.997965008</v>
      </c>
    </row>
    <row r="16" spans="1:15">
      <c r="A16" s="2">
        <v>15</v>
      </c>
      <c r="B16" s="2">
        <v>19000000</v>
      </c>
      <c r="C16" s="2">
        <v>1.917</v>
      </c>
      <c r="D16" s="2">
        <v>0.82</v>
      </c>
      <c r="E16" s="2">
        <v>1600</v>
      </c>
      <c r="F16" s="2">
        <f>IFERROR(B16*C16*IF(D16="", Parameters!$B$2, D16)/Parameters!$B$6, 0)</f>
        <v>960241.13041940611</v>
      </c>
      <c r="G16" s="13">
        <f>F16*IF(E16="", Parameters!$B$2, E16)</f>
        <v>1536385808.6710498</v>
      </c>
      <c r="H16" s="2">
        <f>G16*Parameters!$B$4</f>
        <v>39946031.025447294</v>
      </c>
      <c r="I16" s="2">
        <f>1/POWER(1+Parameters!$B$5, A16)</f>
        <v>0.23939204936916339</v>
      </c>
      <c r="J16" s="6">
        <f t="shared" si="0"/>
        <v>9562762.2313460112</v>
      </c>
      <c r="K16" s="6">
        <f>SUM($G$2:G16)</f>
        <v>23045787130.065746</v>
      </c>
      <c r="L16">
        <f t="shared" si="1"/>
        <v>912229.0738984358</v>
      </c>
      <c r="M16" s="14">
        <f>L16*IF(E16="",Parameters!$B$2,E16)</f>
        <v>1459566518.2374973</v>
      </c>
      <c r="N16" s="17">
        <f t="shared" si="2"/>
        <v>36635119.607761182</v>
      </c>
      <c r="O16" s="17">
        <f t="shared" si="3"/>
        <v>8770156.3617863711</v>
      </c>
    </row>
    <row r="17" spans="1:15">
      <c r="A17" s="2">
        <v>16</v>
      </c>
      <c r="B17" s="2">
        <v>19000000</v>
      </c>
      <c r="C17" s="2">
        <v>1.917</v>
      </c>
      <c r="D17" s="2">
        <v>0.82</v>
      </c>
      <c r="E17" s="2">
        <v>1600</v>
      </c>
      <c r="F17" s="2">
        <f>IFERROR(B17*C17*IF(D17="", Parameters!$B$2, D17)/Parameters!$B$6, 0)</f>
        <v>960241.13041940611</v>
      </c>
      <c r="G17" s="13">
        <f>F17*IF(E17="", Parameters!$B$2, E17)</f>
        <v>1536385808.6710498</v>
      </c>
      <c r="H17" s="2">
        <f>G17*Parameters!$B$4</f>
        <v>39946031.025447294</v>
      </c>
      <c r="I17" s="2">
        <f>1/POWER(1+Parameters!$B$5, A17)</f>
        <v>0.21762913579014853</v>
      </c>
      <c r="J17" s="6">
        <f t="shared" si="0"/>
        <v>8693420.2103145551</v>
      </c>
      <c r="K17" s="6">
        <f>SUM($G$2:G17)</f>
        <v>24582172938.736797</v>
      </c>
      <c r="L17">
        <f t="shared" si="1"/>
        <v>912229.0738984358</v>
      </c>
      <c r="M17" s="14">
        <f>L17*IF(E17="",Parameters!$B$2,E17)</f>
        <v>1459566518.2374973</v>
      </c>
      <c r="N17" s="17">
        <f t="shared" si="2"/>
        <v>36635119.607761182</v>
      </c>
      <c r="O17" s="17">
        <f t="shared" si="3"/>
        <v>7972869.4198057912</v>
      </c>
    </row>
    <row r="18" spans="1:15">
      <c r="A18" s="2">
        <v>17</v>
      </c>
      <c r="B18" s="2">
        <v>19000000</v>
      </c>
      <c r="C18" s="2">
        <v>1.917</v>
      </c>
      <c r="D18" s="2">
        <v>0.82</v>
      </c>
      <c r="E18" s="2">
        <v>1600</v>
      </c>
      <c r="F18" s="2">
        <f>IFERROR(B18*C18*IF(D18="", Parameters!$B$2, D18)/Parameters!$B$6, 0)</f>
        <v>960241.13041940611</v>
      </c>
      <c r="G18" s="13">
        <f>F18*IF(E18="", Parameters!$B$2, E18)</f>
        <v>1536385808.6710498</v>
      </c>
      <c r="H18" s="2">
        <f>G18*Parameters!$B$4</f>
        <v>39946031.025447294</v>
      </c>
      <c r="I18" s="2">
        <f>1/POWER(1+Parameters!$B$5, A18)</f>
        <v>0.19784466890013502</v>
      </c>
      <c r="J18" s="6">
        <f t="shared" si="0"/>
        <v>7903109.2821041411</v>
      </c>
      <c r="K18" s="6">
        <f>SUM($G$2:G18)</f>
        <v>26118558747.407848</v>
      </c>
      <c r="L18">
        <f t="shared" si="1"/>
        <v>912229.0738984358</v>
      </c>
      <c r="M18" s="14">
        <f>L18*IF(E18="",Parameters!$B$2,E18)</f>
        <v>1459566518.2374973</v>
      </c>
      <c r="N18" s="17">
        <f t="shared" si="2"/>
        <v>36635119.607761182</v>
      </c>
      <c r="O18" s="17">
        <f t="shared" si="3"/>
        <v>7248063.1089143557</v>
      </c>
    </row>
    <row r="19" spans="1:15">
      <c r="A19" s="2">
        <v>18</v>
      </c>
      <c r="B19" s="2">
        <v>19000000</v>
      </c>
      <c r="C19" s="2">
        <v>1.917</v>
      </c>
      <c r="D19" s="2">
        <v>0.82</v>
      </c>
      <c r="E19" s="2">
        <v>1600</v>
      </c>
      <c r="F19" s="2">
        <f>IFERROR(B19*C19*IF(D19="", Parameters!$B$2, D19)/Parameters!$B$6, 0)</f>
        <v>960241.13041940611</v>
      </c>
      <c r="G19" s="13">
        <f>F19*IF(E19="", Parameters!$B$2, E19)</f>
        <v>1536385808.6710498</v>
      </c>
      <c r="H19" s="2">
        <f>G19*Parameters!$B$4</f>
        <v>39946031.025447294</v>
      </c>
      <c r="I19" s="2">
        <f>1/POWER(1+Parameters!$B$5, A19)</f>
        <v>0.17985878990921364</v>
      </c>
      <c r="J19" s="6">
        <f t="shared" si="0"/>
        <v>7184644.8019128544</v>
      </c>
      <c r="K19" s="6">
        <f>SUM($G$2:G19)</f>
        <v>27654944556.078899</v>
      </c>
      <c r="L19">
        <f t="shared" si="1"/>
        <v>912229.0738984358</v>
      </c>
      <c r="M19" s="14">
        <f>L19*IF(E19="",Parameters!$B$2,E19)</f>
        <v>1459566518.2374973</v>
      </c>
      <c r="N19" s="17">
        <f t="shared" si="2"/>
        <v>36635119.607761182</v>
      </c>
      <c r="O19" s="17">
        <f t="shared" si="3"/>
        <v>6589148.2808312317</v>
      </c>
    </row>
    <row r="20" spans="1:15">
      <c r="A20" s="2">
        <v>19</v>
      </c>
      <c r="B20" s="2">
        <v>19000000</v>
      </c>
      <c r="C20" s="2">
        <v>1.917</v>
      </c>
      <c r="D20" s="2">
        <v>0.82</v>
      </c>
      <c r="E20" s="2">
        <v>1600</v>
      </c>
      <c r="F20" s="2">
        <f>IFERROR(B20*C20*IF(D20="", Parameters!$B$2, D20)/Parameters!$B$6, 0)</f>
        <v>960241.13041940611</v>
      </c>
      <c r="G20" s="13">
        <f>F20*IF(E20="", Parameters!$B$2, E20)</f>
        <v>1536385808.6710498</v>
      </c>
      <c r="H20" s="2">
        <f>G20*Parameters!$B$4</f>
        <v>39946031.025447294</v>
      </c>
      <c r="I20" s="2">
        <f>1/POWER(1+Parameters!$B$5, A20)</f>
        <v>0.16350799082655781</v>
      </c>
      <c r="J20" s="6">
        <f t="shared" si="0"/>
        <v>6531495.2744662296</v>
      </c>
      <c r="K20" s="6">
        <f>SUM($G$2:G20)</f>
        <v>29191330364.74995</v>
      </c>
      <c r="L20">
        <f t="shared" si="1"/>
        <v>912229.0738984358</v>
      </c>
      <c r="M20" s="14">
        <f>L20*IF(E20="",Parameters!$B$2,E20)</f>
        <v>1459566518.2374973</v>
      </c>
      <c r="N20" s="17">
        <f t="shared" si="2"/>
        <v>36635119.607761182</v>
      </c>
      <c r="O20" s="17">
        <f t="shared" si="3"/>
        <v>5990134.8007556638</v>
      </c>
    </row>
    <row r="21" spans="1:15">
      <c r="A21" s="2">
        <v>20</v>
      </c>
      <c r="B21" s="2">
        <v>19000000</v>
      </c>
      <c r="C21" s="2">
        <v>1.917</v>
      </c>
      <c r="D21" s="2">
        <v>0.82</v>
      </c>
      <c r="E21" s="2">
        <v>1600</v>
      </c>
      <c r="F21" s="2">
        <f>IFERROR(B21*C21*IF(D21="", Parameters!$B$2, D21)/Parameters!$B$6, 0)</f>
        <v>960241.13041940611</v>
      </c>
      <c r="G21" s="13">
        <f>F21*IF(E21="", Parameters!$B$2, E21)</f>
        <v>1536385808.6710498</v>
      </c>
      <c r="H21" s="2">
        <f>G21*Parameters!$B$4</f>
        <v>39946031.025447294</v>
      </c>
      <c r="I21" s="2">
        <f>1/POWER(1+Parameters!$B$5, A21)</f>
        <v>0.14864362802414349</v>
      </c>
      <c r="J21" s="6">
        <f t="shared" si="0"/>
        <v>5937722.9767874824</v>
      </c>
      <c r="K21" s="6">
        <f>SUM($G$2:G21)</f>
        <v>30727716173.421001</v>
      </c>
      <c r="L21">
        <f t="shared" si="1"/>
        <v>912229.0738984358</v>
      </c>
      <c r="M21" s="14">
        <f>L21*IF(E21="",Parameters!$B$2,E21)</f>
        <v>1459566518.2374973</v>
      </c>
      <c r="N21" s="17">
        <f t="shared" si="2"/>
        <v>36635119.607761182</v>
      </c>
      <c r="O21" s="17">
        <f t="shared" si="3"/>
        <v>5445577.0915960586</v>
      </c>
    </row>
    <row r="22" spans="1:15">
      <c r="A22" s="2">
        <v>21</v>
      </c>
      <c r="B22" s="2">
        <v>19000000</v>
      </c>
      <c r="C22" s="2">
        <v>1.917</v>
      </c>
      <c r="D22" s="2">
        <v>0.82</v>
      </c>
      <c r="E22" s="2">
        <v>1600</v>
      </c>
      <c r="F22" s="2">
        <f>IFERROR(B22*C22*IF(D22="", Parameters!$B$2, D22)/Parameters!$B$6, 0)</f>
        <v>960241.13041940611</v>
      </c>
      <c r="G22" s="13">
        <f>F22*IF(E22="", Parameters!$B$2, E22)</f>
        <v>1536385808.6710498</v>
      </c>
      <c r="H22" s="2">
        <f>G22*Parameters!$B$4</f>
        <v>39946031.025447294</v>
      </c>
      <c r="I22" s="2">
        <f>1/POWER(1+Parameters!$B$5, A22)</f>
        <v>0.13513057093103953</v>
      </c>
      <c r="J22" s="6">
        <f t="shared" si="0"/>
        <v>5397929.9788977113</v>
      </c>
      <c r="K22" s="6">
        <f>SUM($G$2:G22)</f>
        <v>32264101982.092052</v>
      </c>
      <c r="L22">
        <f t="shared" si="1"/>
        <v>912229.0738984358</v>
      </c>
      <c r="M22" s="14">
        <f>L22*IF(E22="",Parameters!$B$2,E22)</f>
        <v>1459566518.2374973</v>
      </c>
      <c r="N22" s="17">
        <f t="shared" si="2"/>
        <v>36635119.607761182</v>
      </c>
      <c r="O22" s="17">
        <f t="shared" si="3"/>
        <v>4950524.6287236894</v>
      </c>
    </row>
    <row r="23" spans="1:15">
      <c r="A23" s="2">
        <v>22</v>
      </c>
      <c r="B23" s="2">
        <v>19000000</v>
      </c>
      <c r="C23" s="2">
        <v>1.917</v>
      </c>
      <c r="D23" s="2">
        <v>0.82</v>
      </c>
      <c r="E23" s="2">
        <v>1600</v>
      </c>
      <c r="F23" s="2">
        <f>IFERROR(B23*C23*IF(D23="", Parameters!$B$2, D23)/Parameters!$B$6, 0)</f>
        <v>960241.13041940611</v>
      </c>
      <c r="G23" s="13">
        <f>F23*IF(E23="", Parameters!$B$2, E23)</f>
        <v>1536385808.6710498</v>
      </c>
      <c r="H23" s="2">
        <f>G23*Parameters!$B$4</f>
        <v>39946031.025447294</v>
      </c>
      <c r="I23" s="2">
        <f>1/POWER(1+Parameters!$B$5, A23)</f>
        <v>0.12284597357367227</v>
      </c>
      <c r="J23" s="6">
        <f t="shared" si="0"/>
        <v>4907209.0717251906</v>
      </c>
      <c r="K23" s="6">
        <f>SUM($G$2:G23)</f>
        <v>33800487790.763103</v>
      </c>
      <c r="L23">
        <f t="shared" si="1"/>
        <v>912229.0738984358</v>
      </c>
      <c r="M23" s="14">
        <f>L23*IF(E23="",Parameters!$B$2,E23)</f>
        <v>1459566518.2374973</v>
      </c>
      <c r="N23" s="17">
        <f t="shared" si="2"/>
        <v>36635119.607761182</v>
      </c>
      <c r="O23" s="17">
        <f t="shared" si="3"/>
        <v>4500476.9352033529</v>
      </c>
    </row>
    <row r="24" spans="1:15">
      <c r="A24" s="2">
        <v>23</v>
      </c>
      <c r="B24" s="2">
        <v>19000000</v>
      </c>
      <c r="C24" s="2">
        <v>1.917</v>
      </c>
      <c r="D24" s="2">
        <v>0.82</v>
      </c>
      <c r="E24" s="2">
        <v>1600</v>
      </c>
      <c r="F24" s="2">
        <f>IFERROR(B24*C24*IF(D24="", Parameters!$B$2, D24)/Parameters!$B$6, 0)</f>
        <v>960241.13041940611</v>
      </c>
      <c r="G24" s="13">
        <f>F24*IF(E24="", Parameters!$B$2, E24)</f>
        <v>1536385808.6710498</v>
      </c>
      <c r="H24" s="2">
        <f>G24*Parameters!$B$4</f>
        <v>39946031.025447294</v>
      </c>
      <c r="I24" s="2">
        <f>1/POWER(1+Parameters!$B$5, A24)</f>
        <v>0.11167815779424752</v>
      </c>
      <c r="J24" s="6">
        <f t="shared" si="0"/>
        <v>4461099.1561138099</v>
      </c>
      <c r="K24" s="6">
        <f>SUM($G$2:G24)</f>
        <v>35336873599.434151</v>
      </c>
      <c r="L24">
        <f t="shared" si="1"/>
        <v>912229.0738984358</v>
      </c>
      <c r="M24" s="14">
        <f>L24*IF(E24="",Parameters!$B$2,E24)</f>
        <v>1459566518.2374973</v>
      </c>
      <c r="N24" s="17">
        <f t="shared" si="2"/>
        <v>36635119.607761182</v>
      </c>
      <c r="O24" s="17">
        <f t="shared" si="3"/>
        <v>4091342.6683666846</v>
      </c>
    </row>
    <row r="25" spans="1:15">
      <c r="A25" s="2">
        <v>24</v>
      </c>
      <c r="B25" s="2">
        <v>19000000</v>
      </c>
      <c r="C25" s="2">
        <v>1.917</v>
      </c>
      <c r="D25" s="2">
        <v>0.82</v>
      </c>
      <c r="E25" s="2">
        <v>1600</v>
      </c>
      <c r="F25" s="2">
        <f>IFERROR(B25*C25*IF(D25="", Parameters!$B$2, D25)/Parameters!$B$6, 0)</f>
        <v>960241.13041940611</v>
      </c>
      <c r="G25" s="13">
        <f>F25*IF(E25="", Parameters!$B$2, E25)</f>
        <v>1536385808.6710498</v>
      </c>
      <c r="H25" s="2">
        <f>G25*Parameters!$B$4</f>
        <v>39946031.025447294</v>
      </c>
      <c r="I25" s="2">
        <f>1/POWER(1+Parameters!$B$5, A25)</f>
        <v>0.10152559799477048</v>
      </c>
      <c r="J25" s="6">
        <f t="shared" si="0"/>
        <v>4055544.6873761914</v>
      </c>
      <c r="K25" s="6">
        <f>SUM($G$2:G25)</f>
        <v>36873259408.105202</v>
      </c>
      <c r="L25">
        <f t="shared" si="1"/>
        <v>912229.0738984358</v>
      </c>
      <c r="M25" s="14">
        <f>L25*IF(E25="",Parameters!$B$2,E25)</f>
        <v>1459566518.2374973</v>
      </c>
      <c r="N25" s="17">
        <f t="shared" si="2"/>
        <v>36635119.607761182</v>
      </c>
      <c r="O25" s="17">
        <f t="shared" si="3"/>
        <v>3719402.4257878955</v>
      </c>
    </row>
    <row r="26" spans="1:15">
      <c r="A26" s="2">
        <v>25</v>
      </c>
      <c r="B26" s="2">
        <v>19000000</v>
      </c>
      <c r="C26" s="2">
        <v>1.917</v>
      </c>
      <c r="D26" s="2">
        <v>0.82</v>
      </c>
      <c r="E26" s="2">
        <v>1600</v>
      </c>
      <c r="F26" s="2">
        <f>IFERROR(B26*C26*IF(D26="", Parameters!$B$2, D26)/Parameters!$B$6, 0)</f>
        <v>960241.13041940611</v>
      </c>
      <c r="G26" s="13">
        <f>F26*IF(E26="", Parameters!$B$2, E26)</f>
        <v>1536385808.6710498</v>
      </c>
      <c r="H26" s="2">
        <f>G26*Parameters!$B$4</f>
        <v>39946031.025447294</v>
      </c>
      <c r="I26" s="2">
        <f>1/POWER(1+Parameters!$B$5, A26)</f>
        <v>9.2295998177064048E-2</v>
      </c>
      <c r="J26" s="6">
        <f t="shared" si="0"/>
        <v>3686858.8067056276</v>
      </c>
      <c r="K26" s="6">
        <f>SUM($G$2:G26)</f>
        <v>38409645216.776253</v>
      </c>
      <c r="L26">
        <f t="shared" si="1"/>
        <v>912229.0738984358</v>
      </c>
      <c r="M26" s="14">
        <f>L26*IF(E26="",Parameters!$B$2,E26)</f>
        <v>1459566518.2374973</v>
      </c>
      <c r="N26" s="17">
        <f t="shared" si="2"/>
        <v>36635119.607761182</v>
      </c>
      <c r="O26" s="17">
        <f t="shared" si="3"/>
        <v>3381274.9325344493</v>
      </c>
    </row>
    <row r="27" spans="1:15">
      <c r="A27" s="2">
        <v>26</v>
      </c>
      <c r="B27" s="2">
        <v>19000000</v>
      </c>
      <c r="C27" s="2">
        <v>1.917</v>
      </c>
      <c r="D27" s="2">
        <v>0.82</v>
      </c>
      <c r="E27" s="2">
        <v>1600</v>
      </c>
      <c r="F27" s="2">
        <f>IFERROR(B27*C27*IF(D27="", Parameters!$B$2, D27)/Parameters!$B$6, 0)</f>
        <v>960241.13041940611</v>
      </c>
      <c r="G27" s="13">
        <f>F27*IF(E27="", Parameters!$B$2, E27)</f>
        <v>1536385808.6710498</v>
      </c>
      <c r="H27" s="2">
        <f>G27*Parameters!$B$4</f>
        <v>39946031.025447294</v>
      </c>
      <c r="I27" s="2">
        <f>1/POWER(1+Parameters!$B$5, A27)</f>
        <v>8.3905452888240042E-2</v>
      </c>
      <c r="J27" s="6">
        <f t="shared" si="0"/>
        <v>3351689.8242778429</v>
      </c>
      <c r="K27" s="6">
        <f>SUM($G$2:G27)</f>
        <v>39946031025.447304</v>
      </c>
      <c r="L27">
        <f t="shared" si="1"/>
        <v>912229.0738984358</v>
      </c>
      <c r="M27" s="14">
        <f>L27*IF(E27="",Parameters!$B$2,E27)</f>
        <v>1459566518.2374973</v>
      </c>
      <c r="N27" s="17">
        <f t="shared" si="2"/>
        <v>36635119.607761182</v>
      </c>
      <c r="O27" s="17">
        <f t="shared" si="3"/>
        <v>3073886.3023040448</v>
      </c>
    </row>
    <row r="28" spans="1:15">
      <c r="A28" s="2">
        <v>27</v>
      </c>
      <c r="B28" s="2">
        <v>19000000</v>
      </c>
      <c r="C28" s="2">
        <v>1.917</v>
      </c>
      <c r="D28" s="2">
        <v>0.82</v>
      </c>
      <c r="E28" s="2">
        <v>1600</v>
      </c>
      <c r="F28" s="2">
        <f>IFERROR(B28*C28*IF(D28="", Parameters!$B$2, D28)/Parameters!$B$6, 0)</f>
        <v>960241.13041940611</v>
      </c>
      <c r="G28" s="13">
        <f>F28*IF(E28="", Parameters!$B$2, E28)</f>
        <v>1536385808.6710498</v>
      </c>
      <c r="H28" s="2">
        <f>G28*Parameters!$B$4</f>
        <v>39946031.025447294</v>
      </c>
      <c r="I28" s="2">
        <f>1/POWER(1+Parameters!$B$5, A28)</f>
        <v>7.6277684443854576E-2</v>
      </c>
      <c r="J28" s="6">
        <f t="shared" si="0"/>
        <v>3046990.7493434935</v>
      </c>
      <c r="K28" s="6">
        <f>SUM($G$2:G28)</f>
        <v>41482416834.118355</v>
      </c>
      <c r="L28">
        <f t="shared" si="1"/>
        <v>912229.0738984358</v>
      </c>
      <c r="M28" s="14">
        <f>L28*IF(E28="",Parameters!$B$2,E28)</f>
        <v>1459566518.2374973</v>
      </c>
      <c r="N28" s="17">
        <f t="shared" si="2"/>
        <v>36635119.607761182</v>
      </c>
      <c r="O28" s="17">
        <f t="shared" si="3"/>
        <v>2794442.0930036767</v>
      </c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41482416834.118355</v>
      </c>
      <c r="H39">
        <f>SUM(H2:H33)</f>
        <v>1078542837.6870766</v>
      </c>
      <c r="J39" s="11">
        <f>SUM(J2:J28)</f>
        <v>368990402.76103771</v>
      </c>
      <c r="O39" s="11">
        <f>SUM(O2:O28)</f>
        <v>338406775.14757478</v>
      </c>
    </row>
    <row r="40" spans="1:15">
      <c r="F40" s="3" t="s">
        <v>16</v>
      </c>
      <c r="G40" s="10">
        <f>G39</f>
        <v>41482416834.118355</v>
      </c>
    </row>
    <row r="41" spans="1:15">
      <c r="F41" s="3" t="s">
        <v>17</v>
      </c>
      <c r="G41" s="10">
        <f>H39</f>
        <v>1078542837.6870766</v>
      </c>
    </row>
    <row r="42" spans="1:15">
      <c r="F42" s="3" t="s">
        <v>9</v>
      </c>
      <c r="G42" s="10">
        <f>J39</f>
        <v>368990402.76103771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7A97-14E4-424A-806B-1346A0B2047E}">
  <sheetPr codeName="Sheet13"/>
  <dimension ref="A1:O42"/>
  <sheetViews>
    <sheetView topLeftCell="A10" workbookViewId="0">
      <pane xSplit="1" topLeftCell="D1" activePane="topRight" state="frozen"/>
      <selection pane="topRight" activeCell="L37" sqref="L37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21000000</v>
      </c>
      <c r="C2" s="2">
        <v>1.988</v>
      </c>
      <c r="D2" s="2">
        <v>0.82</v>
      </c>
      <c r="E2" s="2">
        <v>1600</v>
      </c>
      <c r="F2" s="2">
        <f>IFERROR(B2*C2*IF(D2="", Parameters!$B$2, D2)/Parameters!$B$6, 0)</f>
        <v>1100627.2605976819</v>
      </c>
      <c r="G2" s="13">
        <f>F2*IF(E2="", Parameters!$B$2, E2)</f>
        <v>1761003616.956291</v>
      </c>
      <c r="H2" s="2">
        <f>G2*Parameters!$B$4</f>
        <v>45786094.040863566</v>
      </c>
      <c r="I2" s="2">
        <f>1/POWER(1+Parameters!$B$5, A2)</f>
        <v>0.90909090909090906</v>
      </c>
      <c r="J2" s="6">
        <f t="shared" ref="J2:J33" si="0">H2*I2</f>
        <v>41623721.855330512</v>
      </c>
      <c r="K2" s="6">
        <f>SUM($G$2:G2)</f>
        <v>1761003616.956291</v>
      </c>
      <c r="L2">
        <f>F2*0.95</f>
        <v>1045595.8975677977</v>
      </c>
      <c r="M2" s="14">
        <f>L2*IF(E2="",Parameters!$B$2,E2)</f>
        <v>1672953436.1084764</v>
      </c>
      <c r="N2" s="17">
        <f>M2*0.0251</f>
        <v>41991131.246322758</v>
      </c>
      <c r="O2" s="17">
        <f>N2*I2</f>
        <v>38173755.678475231</v>
      </c>
    </row>
    <row r="3" spans="1:15">
      <c r="A3" s="2">
        <v>2</v>
      </c>
      <c r="B3" s="2">
        <v>21000000</v>
      </c>
      <c r="C3" s="2">
        <v>1.988</v>
      </c>
      <c r="D3" s="2">
        <v>0.82</v>
      </c>
      <c r="E3" s="2">
        <v>1600</v>
      </c>
      <c r="F3" s="2">
        <f>IFERROR(B3*C3*IF(D3="", Parameters!$B$2, D3)/Parameters!$B$6, 0)</f>
        <v>1100627.2605976819</v>
      </c>
      <c r="G3" s="13">
        <f>F3*IF(E3="", Parameters!$B$2, E3)</f>
        <v>1761003616.956291</v>
      </c>
      <c r="H3" s="2">
        <f>G3*Parameters!$B$4</f>
        <v>45786094.040863566</v>
      </c>
      <c r="I3" s="2">
        <f>1/POWER(1+Parameters!$B$5, A3)</f>
        <v>0.82644628099173545</v>
      </c>
      <c r="J3" s="6">
        <f t="shared" si="0"/>
        <v>37839747.141209558</v>
      </c>
      <c r="K3" s="6">
        <f>SUM($G$2:G3)</f>
        <v>3522007233.9125819</v>
      </c>
      <c r="L3">
        <f t="shared" ref="L3:L33" si="1">F3*0.95</f>
        <v>1045595.8975677977</v>
      </c>
      <c r="M3" s="14">
        <f>L3*IF(E3="",Parameters!$B$2,E3)</f>
        <v>1672953436.1084764</v>
      </c>
      <c r="N3" s="17">
        <f t="shared" ref="N3:N28" si="2">M3*0.0251</f>
        <v>41991131.246322758</v>
      </c>
      <c r="O3" s="17">
        <f t="shared" ref="O3:O28" si="3">N3*I3</f>
        <v>34703414.253159299</v>
      </c>
    </row>
    <row r="4" spans="1:15">
      <c r="A4" s="2">
        <v>3</v>
      </c>
      <c r="B4" s="2">
        <v>21000000</v>
      </c>
      <c r="C4" s="2">
        <v>1.988</v>
      </c>
      <c r="D4" s="2">
        <v>0.82</v>
      </c>
      <c r="E4" s="2">
        <v>1600</v>
      </c>
      <c r="F4" s="2">
        <f>IFERROR(B4*C4*IF(D4="", Parameters!$B$2, D4)/Parameters!$B$6, 0)</f>
        <v>1100627.2605976819</v>
      </c>
      <c r="G4" s="13">
        <f>F4*IF(E4="", Parameters!$B$2, E4)</f>
        <v>1761003616.956291</v>
      </c>
      <c r="H4" s="2">
        <f>G4*Parameters!$B$4</f>
        <v>45786094.040863566</v>
      </c>
      <c r="I4" s="2">
        <f>1/POWER(1+Parameters!$B$5, A4)</f>
        <v>0.75131480090157754</v>
      </c>
      <c r="J4" s="6">
        <f t="shared" si="0"/>
        <v>34399770.128372319</v>
      </c>
      <c r="K4" s="6">
        <f>SUM($G$2:G4)</f>
        <v>5283010850.8688726</v>
      </c>
      <c r="L4">
        <f t="shared" si="1"/>
        <v>1045595.8975677977</v>
      </c>
      <c r="M4" s="14">
        <f>L4*IF(E4="",Parameters!$B$2,E4)</f>
        <v>1672953436.1084764</v>
      </c>
      <c r="N4" s="17">
        <f t="shared" si="2"/>
        <v>41991131.246322758</v>
      </c>
      <c r="O4" s="17">
        <f t="shared" si="3"/>
        <v>31548558.411962993</v>
      </c>
    </row>
    <row r="5" spans="1:15">
      <c r="A5" s="2">
        <v>4</v>
      </c>
      <c r="B5" s="2">
        <v>21000000</v>
      </c>
      <c r="C5" s="2">
        <v>1.988</v>
      </c>
      <c r="D5" s="2">
        <v>0.82</v>
      </c>
      <c r="E5" s="2">
        <v>1600</v>
      </c>
      <c r="F5" s="2">
        <f>IFERROR(B5*C5*IF(D5="", Parameters!$B$2, D5)/Parameters!$B$6, 0)</f>
        <v>1100627.2605976819</v>
      </c>
      <c r="G5" s="13">
        <f>F5*IF(E5="", Parameters!$B$2, E5)</f>
        <v>1761003616.956291</v>
      </c>
      <c r="H5" s="2">
        <f>G5*Parameters!$B$4</f>
        <v>45786094.040863566</v>
      </c>
      <c r="I5" s="2">
        <f>1/POWER(1+Parameters!$B$5, A5)</f>
        <v>0.68301345536507052</v>
      </c>
      <c r="J5" s="6">
        <f t="shared" si="0"/>
        <v>31272518.298520289</v>
      </c>
      <c r="K5" s="6">
        <f>SUM($G$2:G5)</f>
        <v>7044014467.8251638</v>
      </c>
      <c r="L5">
        <f t="shared" si="1"/>
        <v>1045595.8975677977</v>
      </c>
      <c r="M5" s="14">
        <f>L5*IF(E5="",Parameters!$B$2,E5)</f>
        <v>1672953436.1084764</v>
      </c>
      <c r="N5" s="17">
        <f t="shared" si="2"/>
        <v>41991131.246322758</v>
      </c>
      <c r="O5" s="17">
        <f t="shared" si="3"/>
        <v>28680507.647239089</v>
      </c>
    </row>
    <row r="6" spans="1:15">
      <c r="A6" s="2">
        <v>5</v>
      </c>
      <c r="B6" s="2">
        <v>21000000</v>
      </c>
      <c r="C6" s="2">
        <v>1.988</v>
      </c>
      <c r="D6" s="2">
        <v>0.82</v>
      </c>
      <c r="E6" s="2">
        <v>1600</v>
      </c>
      <c r="F6" s="2">
        <f>IFERROR(B6*C6*IF(D6="", Parameters!$B$2, D6)/Parameters!$B$6, 0)</f>
        <v>1100627.2605976819</v>
      </c>
      <c r="G6" s="13">
        <f>F6*IF(E6="", Parameters!$B$2, E6)</f>
        <v>1761003616.956291</v>
      </c>
      <c r="H6" s="2">
        <f>G6*Parameters!$B$4</f>
        <v>45786094.040863566</v>
      </c>
      <c r="I6" s="2">
        <f>1/POWER(1+Parameters!$B$5, A6)</f>
        <v>0.62092132305915493</v>
      </c>
      <c r="J6" s="6">
        <f t="shared" si="0"/>
        <v>28429562.089563895</v>
      </c>
      <c r="K6" s="6">
        <f>SUM($G$2:G6)</f>
        <v>8805018084.7814541</v>
      </c>
      <c r="L6">
        <f t="shared" si="1"/>
        <v>1045595.8975677977</v>
      </c>
      <c r="M6" s="14">
        <f>L6*IF(E6="",Parameters!$B$2,E6)</f>
        <v>1672953436.1084764</v>
      </c>
      <c r="N6" s="17">
        <f t="shared" si="2"/>
        <v>41991131.246322758</v>
      </c>
      <c r="O6" s="17">
        <f t="shared" si="3"/>
        <v>26073188.770217348</v>
      </c>
    </row>
    <row r="7" spans="1:15">
      <c r="A7" s="2">
        <v>6</v>
      </c>
      <c r="B7" s="2">
        <v>21000000</v>
      </c>
      <c r="C7" s="2">
        <v>1.988</v>
      </c>
      <c r="D7" s="2">
        <v>0.82</v>
      </c>
      <c r="E7" s="2">
        <v>1600</v>
      </c>
      <c r="F7" s="2">
        <f>IFERROR(B7*C7*IF(D7="", Parameters!$B$2, D7)/Parameters!$B$6, 0)</f>
        <v>1100627.2605976819</v>
      </c>
      <c r="G7" s="13">
        <f>F7*IF(E7="", Parameters!$B$2, E7)</f>
        <v>1761003616.956291</v>
      </c>
      <c r="H7" s="2">
        <f>G7*Parameters!$B$4</f>
        <v>45786094.040863566</v>
      </c>
      <c r="I7" s="2">
        <f>1/POWER(1+Parameters!$B$5, A7)</f>
        <v>0.56447393005377722</v>
      </c>
      <c r="J7" s="6">
        <f t="shared" si="0"/>
        <v>25845056.445058085</v>
      </c>
      <c r="K7" s="6">
        <f>SUM($G$2:G7)</f>
        <v>10566021701.737745</v>
      </c>
      <c r="L7">
        <f t="shared" si="1"/>
        <v>1045595.8975677977</v>
      </c>
      <c r="M7" s="14">
        <f>L7*IF(E7="",Parameters!$B$2,E7)</f>
        <v>1672953436.1084764</v>
      </c>
      <c r="N7" s="17">
        <f t="shared" si="2"/>
        <v>41991131.246322758</v>
      </c>
      <c r="O7" s="17">
        <f t="shared" si="3"/>
        <v>23702898.882015772</v>
      </c>
    </row>
    <row r="8" spans="1:15">
      <c r="A8" s="2">
        <v>7</v>
      </c>
      <c r="B8" s="2">
        <v>21000000</v>
      </c>
      <c r="C8" s="2">
        <v>1.988</v>
      </c>
      <c r="D8" s="2">
        <v>0.82</v>
      </c>
      <c r="E8" s="2">
        <v>1600</v>
      </c>
      <c r="F8" s="2">
        <f>IFERROR(B8*C8*IF(D8="", Parameters!$B$2, D8)/Parameters!$B$6, 0)</f>
        <v>1100627.2605976819</v>
      </c>
      <c r="G8" s="13">
        <f>F8*IF(E8="", Parameters!$B$2, E8)</f>
        <v>1761003616.956291</v>
      </c>
      <c r="H8" s="2">
        <f>G8*Parameters!$B$4</f>
        <v>45786094.040863566</v>
      </c>
      <c r="I8" s="2">
        <f>1/POWER(1+Parameters!$B$5, A8)</f>
        <v>0.51315811823070645</v>
      </c>
      <c r="J8" s="6">
        <f t="shared" si="0"/>
        <v>23495505.859143712</v>
      </c>
      <c r="K8" s="6">
        <f>SUM($G$2:G8)</f>
        <v>12327025318.694036</v>
      </c>
      <c r="L8">
        <f t="shared" si="1"/>
        <v>1045595.8975677977</v>
      </c>
      <c r="M8" s="14">
        <f>L8*IF(E8="",Parameters!$B$2,E8)</f>
        <v>1672953436.1084764</v>
      </c>
      <c r="N8" s="17">
        <f t="shared" si="2"/>
        <v>41991131.246322758</v>
      </c>
      <c r="O8" s="17">
        <f t="shared" si="3"/>
        <v>21548089.892741606</v>
      </c>
    </row>
    <row r="9" spans="1:15">
      <c r="A9" s="2">
        <v>8</v>
      </c>
      <c r="B9" s="2">
        <v>21000000</v>
      </c>
      <c r="C9" s="2">
        <v>1.988</v>
      </c>
      <c r="D9" s="2">
        <v>0.82</v>
      </c>
      <c r="E9" s="2">
        <v>1600</v>
      </c>
      <c r="F9" s="2">
        <f>IFERROR(B9*C9*IF(D9="", Parameters!$B$2, D9)/Parameters!$B$6, 0)</f>
        <v>1100627.2605976819</v>
      </c>
      <c r="G9" s="13">
        <f>F9*IF(E9="", Parameters!$B$2, E9)</f>
        <v>1761003616.956291</v>
      </c>
      <c r="H9" s="2">
        <f>G9*Parameters!$B$4</f>
        <v>45786094.040863566</v>
      </c>
      <c r="I9" s="2">
        <f>1/POWER(1+Parameters!$B$5, A9)</f>
        <v>0.46650738020973315</v>
      </c>
      <c r="J9" s="6">
        <f t="shared" si="0"/>
        <v>21359550.781039737</v>
      </c>
      <c r="K9" s="6">
        <f>SUM($G$2:G9)</f>
        <v>14088028935.650328</v>
      </c>
      <c r="L9">
        <f t="shared" si="1"/>
        <v>1045595.8975677977</v>
      </c>
      <c r="M9" s="14">
        <f>L9*IF(E9="",Parameters!$B$2,E9)</f>
        <v>1672953436.1084764</v>
      </c>
      <c r="N9" s="17">
        <f t="shared" si="2"/>
        <v>41991131.246322758</v>
      </c>
      <c r="O9" s="17">
        <f t="shared" si="3"/>
        <v>19589172.629765097</v>
      </c>
    </row>
    <row r="10" spans="1:15">
      <c r="A10" s="2">
        <v>9</v>
      </c>
      <c r="B10" s="2">
        <v>21000000</v>
      </c>
      <c r="C10" s="2">
        <v>1.988</v>
      </c>
      <c r="D10" s="2">
        <v>0.82</v>
      </c>
      <c r="E10" s="2">
        <v>1600</v>
      </c>
      <c r="F10" s="2">
        <f>IFERROR(B10*C10*IF(D10="", Parameters!$B$2, D10)/Parameters!$B$6, 0)</f>
        <v>1100627.2605976819</v>
      </c>
      <c r="G10" s="13">
        <f>F10*IF(E10="", Parameters!$B$2, E10)</f>
        <v>1761003616.956291</v>
      </c>
      <c r="H10" s="2">
        <f>G10*Parameters!$B$4</f>
        <v>45786094.040863566</v>
      </c>
      <c r="I10" s="2">
        <f>1/POWER(1+Parameters!$B$5, A10)</f>
        <v>0.42409761837248466</v>
      </c>
      <c r="J10" s="6">
        <f t="shared" si="0"/>
        <v>19417773.437308852</v>
      </c>
      <c r="K10" s="6">
        <f>SUM($G$2:G10)</f>
        <v>15849032552.606619</v>
      </c>
      <c r="L10">
        <f t="shared" si="1"/>
        <v>1045595.8975677977</v>
      </c>
      <c r="M10" s="14">
        <f>L10*IF(E10="",Parameters!$B$2,E10)</f>
        <v>1672953436.1084764</v>
      </c>
      <c r="N10" s="17">
        <f t="shared" si="2"/>
        <v>41991131.246322758</v>
      </c>
      <c r="O10" s="17">
        <f t="shared" si="3"/>
        <v>17808338.754331905</v>
      </c>
    </row>
    <row r="11" spans="1:15">
      <c r="A11" s="2">
        <v>10</v>
      </c>
      <c r="B11" s="2">
        <v>21000000</v>
      </c>
      <c r="C11" s="2">
        <v>1.988</v>
      </c>
      <c r="D11" s="2">
        <v>0.82</v>
      </c>
      <c r="E11" s="2">
        <v>1600</v>
      </c>
      <c r="F11" s="2">
        <f>IFERROR(B11*C11*IF(D11="", Parameters!$B$2, D11)/Parameters!$B$6, 0)</f>
        <v>1100627.2605976819</v>
      </c>
      <c r="G11" s="13">
        <f>F11*IF(E11="", Parameters!$B$2, E11)</f>
        <v>1761003616.956291</v>
      </c>
      <c r="H11" s="2">
        <f>G11*Parameters!$B$4</f>
        <v>45786094.040863566</v>
      </c>
      <c r="I11" s="2">
        <f>1/POWER(1+Parameters!$B$5, A11)</f>
        <v>0.38554328942953148</v>
      </c>
      <c r="J11" s="6">
        <f t="shared" si="0"/>
        <v>17652521.30664441</v>
      </c>
      <c r="K11" s="6">
        <f>SUM($G$2:G11)</f>
        <v>17610036169.562908</v>
      </c>
      <c r="L11">
        <f t="shared" si="1"/>
        <v>1045595.8975677977</v>
      </c>
      <c r="M11" s="14">
        <f>L11*IF(E11="",Parameters!$B$2,E11)</f>
        <v>1672953436.1084764</v>
      </c>
      <c r="N11" s="17">
        <f t="shared" si="2"/>
        <v>41991131.246322758</v>
      </c>
      <c r="O11" s="17">
        <f t="shared" si="3"/>
        <v>16189398.867574459</v>
      </c>
    </row>
    <row r="12" spans="1:15">
      <c r="A12" s="2">
        <v>11</v>
      </c>
      <c r="B12" s="2">
        <v>21000000</v>
      </c>
      <c r="C12" s="2">
        <v>1.988</v>
      </c>
      <c r="D12" s="2">
        <v>0.82</v>
      </c>
      <c r="E12" s="2">
        <v>1600</v>
      </c>
      <c r="F12" s="2">
        <f>IFERROR(B12*C12*IF(D12="", Parameters!$B$2, D12)/Parameters!$B$6, 0)</f>
        <v>1100627.2605976819</v>
      </c>
      <c r="G12" s="13">
        <f>F12*IF(E12="", Parameters!$B$2, E12)</f>
        <v>1761003616.956291</v>
      </c>
      <c r="H12" s="2">
        <f>G12*Parameters!$B$4</f>
        <v>45786094.040863566</v>
      </c>
      <c r="I12" s="2">
        <f>1/POWER(1+Parameters!$B$5, A12)</f>
        <v>0.3504938994813922</v>
      </c>
      <c r="J12" s="6">
        <f t="shared" si="0"/>
        <v>16047746.642404005</v>
      </c>
      <c r="K12" s="6">
        <f>SUM($G$2:G12)</f>
        <v>19371039786.519199</v>
      </c>
      <c r="L12">
        <f t="shared" si="1"/>
        <v>1045595.8975677977</v>
      </c>
      <c r="M12" s="14">
        <f>L12*IF(E12="",Parameters!$B$2,E12)</f>
        <v>1672953436.1084764</v>
      </c>
      <c r="N12" s="17">
        <f t="shared" si="2"/>
        <v>41991131.246322758</v>
      </c>
      <c r="O12" s="17">
        <f t="shared" si="3"/>
        <v>14717635.334158596</v>
      </c>
    </row>
    <row r="13" spans="1:15">
      <c r="A13" s="2">
        <v>12</v>
      </c>
      <c r="B13" s="2">
        <v>21000000</v>
      </c>
      <c r="C13" s="2">
        <v>1.988</v>
      </c>
      <c r="D13" s="2">
        <v>0.82</v>
      </c>
      <c r="E13" s="2">
        <v>1600</v>
      </c>
      <c r="F13" s="2">
        <f>IFERROR(B13*C13*IF(D13="", Parameters!$B$2, D13)/Parameters!$B$6, 0)</f>
        <v>1100627.2605976819</v>
      </c>
      <c r="G13" s="13">
        <f>F13*IF(E13="", Parameters!$B$2, E13)</f>
        <v>1761003616.956291</v>
      </c>
      <c r="H13" s="2">
        <f>G13*Parameters!$B$4</f>
        <v>45786094.040863566</v>
      </c>
      <c r="I13" s="2">
        <f>1/POWER(1+Parameters!$B$5, A13)</f>
        <v>0.31863081771035656</v>
      </c>
      <c r="J13" s="6">
        <f t="shared" si="0"/>
        <v>14588860.584003642</v>
      </c>
      <c r="K13" s="6">
        <f>SUM($G$2:G13)</f>
        <v>21132043403.475491</v>
      </c>
      <c r="L13">
        <f t="shared" si="1"/>
        <v>1045595.8975677977</v>
      </c>
      <c r="M13" s="14">
        <f>L13*IF(E13="",Parameters!$B$2,E13)</f>
        <v>1672953436.1084764</v>
      </c>
      <c r="N13" s="17">
        <f t="shared" si="2"/>
        <v>41991131.246322758</v>
      </c>
      <c r="O13" s="17">
        <f t="shared" si="3"/>
        <v>13379668.485598724</v>
      </c>
    </row>
    <row r="14" spans="1:15">
      <c r="A14" s="2">
        <v>13</v>
      </c>
      <c r="B14" s="2">
        <v>21000000</v>
      </c>
      <c r="C14" s="2">
        <v>1.988</v>
      </c>
      <c r="D14" s="2">
        <v>0.82</v>
      </c>
      <c r="E14" s="2">
        <v>1600</v>
      </c>
      <c r="F14" s="2">
        <f>IFERROR(B14*C14*IF(D14="", Parameters!$B$2, D14)/Parameters!$B$6, 0)</f>
        <v>1100627.2605976819</v>
      </c>
      <c r="G14" s="13">
        <f>F14*IF(E14="", Parameters!$B$2, E14)</f>
        <v>1761003616.956291</v>
      </c>
      <c r="H14" s="2">
        <f>G14*Parameters!$B$4</f>
        <v>45786094.040863566</v>
      </c>
      <c r="I14" s="2">
        <f>1/POWER(1+Parameters!$B$5, A14)</f>
        <v>0.28966437973668779</v>
      </c>
      <c r="J14" s="6">
        <f t="shared" si="0"/>
        <v>13262600.530912403</v>
      </c>
      <c r="K14" s="6">
        <f>SUM($G$2:G14)</f>
        <v>22893047020.431782</v>
      </c>
      <c r="L14">
        <f t="shared" si="1"/>
        <v>1045595.8975677977</v>
      </c>
      <c r="M14" s="14">
        <f>L14*IF(E14="",Parameters!$B$2,E14)</f>
        <v>1672953436.1084764</v>
      </c>
      <c r="N14" s="17">
        <f t="shared" si="2"/>
        <v>41991131.246322758</v>
      </c>
      <c r="O14" s="17">
        <f t="shared" si="3"/>
        <v>12163334.986907931</v>
      </c>
    </row>
    <row r="15" spans="1:15">
      <c r="A15" s="2">
        <v>14</v>
      </c>
      <c r="B15" s="2">
        <v>21000000</v>
      </c>
      <c r="C15" s="2">
        <v>1.988</v>
      </c>
      <c r="D15" s="2">
        <v>0.82</v>
      </c>
      <c r="E15" s="2">
        <v>1600</v>
      </c>
      <c r="F15" s="2">
        <f>IFERROR(B15*C15*IF(D15="", Parameters!$B$2, D15)/Parameters!$B$6, 0)</f>
        <v>1100627.2605976819</v>
      </c>
      <c r="G15" s="13">
        <f>F15*IF(E15="", Parameters!$B$2, E15)</f>
        <v>1761003616.956291</v>
      </c>
      <c r="H15" s="2">
        <f>G15*Parameters!$B$4</f>
        <v>45786094.040863566</v>
      </c>
      <c r="I15" s="2">
        <f>1/POWER(1+Parameters!$B$5, A15)</f>
        <v>0.26333125430607973</v>
      </c>
      <c r="J15" s="6">
        <f t="shared" si="0"/>
        <v>12056909.573556725</v>
      </c>
      <c r="K15" s="6">
        <f>SUM($G$2:G15)</f>
        <v>24654050637.388073</v>
      </c>
      <c r="L15">
        <f t="shared" si="1"/>
        <v>1045595.8975677977</v>
      </c>
      <c r="M15" s="14">
        <f>L15*IF(E15="",Parameters!$B$2,E15)</f>
        <v>1672953436.1084764</v>
      </c>
      <c r="N15" s="17">
        <f t="shared" si="2"/>
        <v>41991131.246322758</v>
      </c>
      <c r="O15" s="17">
        <f t="shared" si="3"/>
        <v>11057577.26082539</v>
      </c>
    </row>
    <row r="16" spans="1:15">
      <c r="A16" s="2">
        <v>15</v>
      </c>
      <c r="B16" s="2">
        <v>21000000</v>
      </c>
      <c r="C16" s="2">
        <v>1.988</v>
      </c>
      <c r="D16" s="2">
        <v>0.82</v>
      </c>
      <c r="E16" s="2">
        <v>1600</v>
      </c>
      <c r="F16" s="2">
        <f>IFERROR(B16*C16*IF(D16="", Parameters!$B$2, D16)/Parameters!$B$6, 0)</f>
        <v>1100627.2605976819</v>
      </c>
      <c r="G16" s="13">
        <f>F16*IF(E16="", Parameters!$B$2, E16)</f>
        <v>1761003616.956291</v>
      </c>
      <c r="H16" s="2">
        <f>G16*Parameters!$B$4</f>
        <v>45786094.040863566</v>
      </c>
      <c r="I16" s="2">
        <f>1/POWER(1+Parameters!$B$5, A16)</f>
        <v>0.23939204936916339</v>
      </c>
      <c r="J16" s="6">
        <f t="shared" si="0"/>
        <v>10960826.885051569</v>
      </c>
      <c r="K16" s="6">
        <f>SUM($G$2:G16)</f>
        <v>26415054254.344364</v>
      </c>
      <c r="L16">
        <f t="shared" si="1"/>
        <v>1045595.8975677977</v>
      </c>
      <c r="M16" s="14">
        <f>L16*IF(E16="",Parameters!$B$2,E16)</f>
        <v>1672953436.1084764</v>
      </c>
      <c r="N16" s="17">
        <f t="shared" si="2"/>
        <v>41991131.246322758</v>
      </c>
      <c r="O16" s="17">
        <f t="shared" si="3"/>
        <v>10052342.964386716</v>
      </c>
    </row>
    <row r="17" spans="1:15">
      <c r="A17" s="2">
        <v>16</v>
      </c>
      <c r="B17" s="2">
        <v>21000000</v>
      </c>
      <c r="C17" s="2">
        <v>1.988</v>
      </c>
      <c r="D17" s="2">
        <v>0.82</v>
      </c>
      <c r="E17" s="2">
        <v>1600</v>
      </c>
      <c r="F17" s="2">
        <f>IFERROR(B17*C17*IF(D17="", Parameters!$B$2, D17)/Parameters!$B$6, 0)</f>
        <v>1100627.2605976819</v>
      </c>
      <c r="G17" s="13">
        <f>F17*IF(E17="", Parameters!$B$2, E17)</f>
        <v>1761003616.956291</v>
      </c>
      <c r="H17" s="2">
        <f>G17*Parameters!$B$4</f>
        <v>45786094.040863566</v>
      </c>
      <c r="I17" s="2">
        <f>1/POWER(1+Parameters!$B$5, A17)</f>
        <v>0.21762913579014853</v>
      </c>
      <c r="J17" s="6">
        <f t="shared" si="0"/>
        <v>9964388.0773196071</v>
      </c>
      <c r="K17" s="6">
        <f>SUM($G$2:G17)</f>
        <v>28176057871.300655</v>
      </c>
      <c r="L17">
        <f t="shared" si="1"/>
        <v>1045595.8975677977</v>
      </c>
      <c r="M17" s="14">
        <f>L17*IF(E17="",Parameters!$B$2,E17)</f>
        <v>1672953436.1084764</v>
      </c>
      <c r="N17" s="17">
        <f t="shared" si="2"/>
        <v>41991131.246322758</v>
      </c>
      <c r="O17" s="17">
        <f t="shared" si="3"/>
        <v>9138493.6039879248</v>
      </c>
    </row>
    <row r="18" spans="1:15">
      <c r="A18" s="2">
        <v>17</v>
      </c>
      <c r="B18" s="2">
        <v>21000000</v>
      </c>
      <c r="C18" s="2">
        <v>1.988</v>
      </c>
      <c r="D18" s="2">
        <v>0.82</v>
      </c>
      <c r="E18" s="2">
        <v>1600</v>
      </c>
      <c r="F18" s="2">
        <f>IFERROR(B18*C18*IF(D18="", Parameters!$B$2, D18)/Parameters!$B$6, 0)</f>
        <v>1100627.2605976819</v>
      </c>
      <c r="G18" s="13">
        <f>F18*IF(E18="", Parameters!$B$2, E18)</f>
        <v>1761003616.956291</v>
      </c>
      <c r="H18" s="2">
        <f>G18*Parameters!$B$4</f>
        <v>45786094.040863566</v>
      </c>
      <c r="I18" s="2">
        <f>1/POWER(1+Parameters!$B$5, A18)</f>
        <v>0.19784466890013502</v>
      </c>
      <c r="J18" s="6">
        <f t="shared" si="0"/>
        <v>9058534.6157450974</v>
      </c>
      <c r="K18" s="6">
        <f>SUM($G$2:G18)</f>
        <v>29937061488.256947</v>
      </c>
      <c r="L18">
        <f t="shared" si="1"/>
        <v>1045595.8975677977</v>
      </c>
      <c r="M18" s="14">
        <f>L18*IF(E18="",Parameters!$B$2,E18)</f>
        <v>1672953436.1084764</v>
      </c>
      <c r="N18" s="17">
        <f t="shared" si="2"/>
        <v>41991131.246322758</v>
      </c>
      <c r="O18" s="17">
        <f t="shared" si="3"/>
        <v>8307721.4581708405</v>
      </c>
    </row>
    <row r="19" spans="1:15">
      <c r="A19" s="2">
        <v>18</v>
      </c>
      <c r="B19" s="2">
        <v>21000000</v>
      </c>
      <c r="C19" s="2">
        <v>1.988</v>
      </c>
      <c r="D19" s="2">
        <v>0.82</v>
      </c>
      <c r="E19" s="2">
        <v>1600</v>
      </c>
      <c r="F19" s="2">
        <f>IFERROR(B19*C19*IF(D19="", Parameters!$B$2, D19)/Parameters!$B$6, 0)</f>
        <v>1100627.2605976819</v>
      </c>
      <c r="G19" s="13">
        <f>F19*IF(E19="", Parameters!$B$2, E19)</f>
        <v>1761003616.956291</v>
      </c>
      <c r="H19" s="2">
        <f>G19*Parameters!$B$4</f>
        <v>45786094.040863566</v>
      </c>
      <c r="I19" s="2">
        <f>1/POWER(1+Parameters!$B$5, A19)</f>
        <v>0.17985878990921364</v>
      </c>
      <c r="J19" s="6">
        <f t="shared" si="0"/>
        <v>8235031.4688591789</v>
      </c>
      <c r="K19" s="6">
        <f>SUM($G$2:G19)</f>
        <v>31698065105.213238</v>
      </c>
      <c r="L19">
        <f t="shared" si="1"/>
        <v>1045595.8975677977</v>
      </c>
      <c r="M19" s="14">
        <f>L19*IF(E19="",Parameters!$B$2,E19)</f>
        <v>1672953436.1084764</v>
      </c>
      <c r="N19" s="17">
        <f t="shared" si="2"/>
        <v>41991131.246322758</v>
      </c>
      <c r="O19" s="17">
        <f t="shared" si="3"/>
        <v>7552474.052882581</v>
      </c>
    </row>
    <row r="20" spans="1:15">
      <c r="A20" s="2">
        <v>19</v>
      </c>
      <c r="B20" s="2">
        <v>21000000</v>
      </c>
      <c r="C20" s="2">
        <v>1.988</v>
      </c>
      <c r="D20" s="2">
        <v>0.82</v>
      </c>
      <c r="E20" s="2">
        <v>1600</v>
      </c>
      <c r="F20" s="2">
        <f>IFERROR(B20*C20*IF(D20="", Parameters!$B$2, D20)/Parameters!$B$6, 0)</f>
        <v>1100627.2605976819</v>
      </c>
      <c r="G20" s="13">
        <f>F20*IF(E20="", Parameters!$B$2, E20)</f>
        <v>1761003616.956291</v>
      </c>
      <c r="H20" s="2">
        <f>G20*Parameters!$B$4</f>
        <v>45786094.040863566</v>
      </c>
      <c r="I20" s="2">
        <f>1/POWER(1+Parameters!$B$5, A20)</f>
        <v>0.16350799082655781</v>
      </c>
      <c r="J20" s="6">
        <f t="shared" si="0"/>
        <v>7486392.2444174336</v>
      </c>
      <c r="K20" s="6">
        <f>SUM($G$2:G20)</f>
        <v>33459068722.169529</v>
      </c>
      <c r="L20">
        <f t="shared" si="1"/>
        <v>1045595.8975677977</v>
      </c>
      <c r="M20" s="14">
        <f>L20*IF(E20="",Parameters!$B$2,E20)</f>
        <v>1672953436.1084764</v>
      </c>
      <c r="N20" s="17">
        <f t="shared" si="2"/>
        <v>41991131.246322758</v>
      </c>
      <c r="O20" s="17">
        <f t="shared" si="3"/>
        <v>6865885.5026205266</v>
      </c>
    </row>
    <row r="21" spans="1:15">
      <c r="A21" s="2">
        <v>20</v>
      </c>
      <c r="B21" s="2">
        <v>21000000</v>
      </c>
      <c r="C21" s="2">
        <v>1.988</v>
      </c>
      <c r="D21" s="2">
        <v>0.82</v>
      </c>
      <c r="E21" s="2">
        <v>1600</v>
      </c>
      <c r="F21" s="2">
        <f>IFERROR(B21*C21*IF(D21="", Parameters!$B$2, D21)/Parameters!$B$6, 0)</f>
        <v>1100627.2605976819</v>
      </c>
      <c r="G21" s="13">
        <f>F21*IF(E21="", Parameters!$B$2, E21)</f>
        <v>1761003616.956291</v>
      </c>
      <c r="H21" s="2">
        <f>G21*Parameters!$B$4</f>
        <v>45786094.040863566</v>
      </c>
      <c r="I21" s="2">
        <f>1/POWER(1+Parameters!$B$5, A21)</f>
        <v>0.14864362802414349</v>
      </c>
      <c r="J21" s="6">
        <f t="shared" si="0"/>
        <v>6805811.1312885769</v>
      </c>
      <c r="K21" s="6">
        <f>SUM($G$2:G21)</f>
        <v>35220072339.125816</v>
      </c>
      <c r="L21">
        <f t="shared" si="1"/>
        <v>1045595.8975677977</v>
      </c>
      <c r="M21" s="14">
        <f>L21*IF(E21="",Parameters!$B$2,E21)</f>
        <v>1672953436.1084764</v>
      </c>
      <c r="N21" s="17">
        <f t="shared" si="2"/>
        <v>41991131.246322758</v>
      </c>
      <c r="O21" s="17">
        <f t="shared" si="3"/>
        <v>6241714.0932913888</v>
      </c>
    </row>
    <row r="22" spans="1:15">
      <c r="A22" s="2">
        <v>21</v>
      </c>
      <c r="B22" s="2">
        <v>21000000</v>
      </c>
      <c r="C22" s="2">
        <v>1.988</v>
      </c>
      <c r="D22" s="2">
        <v>0.82</v>
      </c>
      <c r="E22" s="2">
        <v>1600</v>
      </c>
      <c r="F22" s="2">
        <f>IFERROR(B22*C22*IF(D22="", Parameters!$B$2, D22)/Parameters!$B$6, 0)</f>
        <v>1100627.2605976819</v>
      </c>
      <c r="G22" s="13">
        <f>F22*IF(E22="", Parameters!$B$2, E22)</f>
        <v>1761003616.956291</v>
      </c>
      <c r="H22" s="2">
        <f>G22*Parameters!$B$4</f>
        <v>45786094.040863566</v>
      </c>
      <c r="I22" s="2">
        <f>1/POWER(1+Parameters!$B$5, A22)</f>
        <v>0.13513057093103953</v>
      </c>
      <c r="J22" s="6">
        <f t="shared" si="0"/>
        <v>6187101.0284441607</v>
      </c>
      <c r="K22" s="6">
        <f>SUM($G$2:G22)</f>
        <v>36981075956.082108</v>
      </c>
      <c r="L22">
        <f t="shared" si="1"/>
        <v>1045595.8975677977</v>
      </c>
      <c r="M22" s="14">
        <f>L22*IF(E22="",Parameters!$B$2,E22)</f>
        <v>1672953436.1084764</v>
      </c>
      <c r="N22" s="17">
        <f t="shared" si="2"/>
        <v>41991131.246322758</v>
      </c>
      <c r="O22" s="17">
        <f t="shared" si="3"/>
        <v>5674285.5393558079</v>
      </c>
    </row>
    <row r="23" spans="1:15">
      <c r="A23" s="2"/>
      <c r="B23" s="2"/>
      <c r="C23" s="2"/>
      <c r="D23" s="2"/>
      <c r="E23" s="2"/>
      <c r="F23" s="2"/>
      <c r="G23" s="13"/>
      <c r="H23" s="2"/>
      <c r="I23" s="2"/>
      <c r="J23" s="6"/>
      <c r="K23" s="6"/>
      <c r="M23" s="14"/>
      <c r="N23" s="17"/>
      <c r="O23" s="17"/>
    </row>
    <row r="24" spans="1:15">
      <c r="A24" s="2"/>
      <c r="B24" s="2"/>
      <c r="C24" s="2"/>
      <c r="D24" s="2"/>
      <c r="E24" s="2"/>
      <c r="F24" s="2"/>
      <c r="G24" s="13"/>
      <c r="H24" s="2"/>
      <c r="I24" s="2"/>
      <c r="J24" s="6"/>
      <c r="K24" s="6"/>
      <c r="M24" s="14"/>
      <c r="N24" s="17"/>
      <c r="O24" s="17"/>
    </row>
    <row r="25" spans="1:15">
      <c r="A25" s="2"/>
      <c r="B25" s="2"/>
      <c r="C25" s="2"/>
      <c r="D25" s="2"/>
      <c r="E25" s="2"/>
      <c r="F25" s="2"/>
      <c r="G25" s="13"/>
      <c r="H25" s="2"/>
      <c r="I25" s="2"/>
      <c r="J25" s="6"/>
      <c r="K25" s="6"/>
      <c r="M25" s="14"/>
      <c r="N25" s="17"/>
      <c r="O25" s="17"/>
    </row>
    <row r="26" spans="1:15">
      <c r="A26" s="2"/>
      <c r="B26" s="2"/>
      <c r="C26" s="2"/>
      <c r="D26" s="2"/>
      <c r="E26" s="2"/>
      <c r="F26" s="2"/>
      <c r="G26" s="13"/>
      <c r="H26" s="2"/>
      <c r="I26" s="2"/>
      <c r="J26" s="6"/>
      <c r="K26" s="6"/>
      <c r="M26" s="14"/>
      <c r="N26" s="17"/>
      <c r="O26" s="17"/>
    </row>
    <row r="27" spans="1:15">
      <c r="A27" s="2"/>
      <c r="B27" s="2"/>
      <c r="C27" s="2"/>
      <c r="D27" s="2"/>
      <c r="E27" s="2"/>
      <c r="F27" s="2"/>
      <c r="G27" s="13"/>
      <c r="H27" s="2"/>
      <c r="I27" s="2"/>
      <c r="J27" s="6"/>
      <c r="K27" s="6"/>
      <c r="M27" s="14"/>
      <c r="N27" s="17"/>
      <c r="O27" s="17"/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36981075956.082108</v>
      </c>
      <c r="H39">
        <f>SUM(H2:H33)</f>
        <v>961507974.85813439</v>
      </c>
      <c r="J39" s="11">
        <f>SUM(J2:J22)</f>
        <v>395989930.12419373</v>
      </c>
      <c r="O39" s="11">
        <f>SUM(O2:O22)</f>
        <v>363168457.06966925</v>
      </c>
    </row>
    <row r="40" spans="1:15">
      <c r="F40" s="3" t="s">
        <v>16</v>
      </c>
      <c r="G40" s="10">
        <f>G39</f>
        <v>36981075956.082108</v>
      </c>
    </row>
    <row r="41" spans="1:15">
      <c r="F41" s="3" t="s">
        <v>17</v>
      </c>
      <c r="G41" s="10">
        <f>H39</f>
        <v>961507974.85813439</v>
      </c>
    </row>
    <row r="42" spans="1:15">
      <c r="F42" s="3" t="s">
        <v>9</v>
      </c>
      <c r="G42" s="10">
        <f>J39</f>
        <v>395989930.12419373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32A1-4789-464C-A025-0032F80548C8}">
  <sheetPr codeName="Sheet14"/>
  <dimension ref="A1:O42"/>
  <sheetViews>
    <sheetView topLeftCell="A8" workbookViewId="0">
      <pane xSplit="1" topLeftCell="D1" activePane="topRight" state="frozen"/>
      <selection pane="topRight" activeCell="M35" sqref="M35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15000000</v>
      </c>
      <c r="C2" s="2">
        <v>2.044</v>
      </c>
      <c r="D2" s="2">
        <v>0.82</v>
      </c>
      <c r="E2" s="2">
        <v>1600</v>
      </c>
      <c r="F2" s="2">
        <f>IFERROR(B2*C2*IF(D2="", Parameters!$B$2, D2)/Parameters!$B$6, 0)</f>
        <v>808307.74671660748</v>
      </c>
      <c r="G2" s="13">
        <f>F2*IF(E2="", Parameters!$B$2, E2)</f>
        <v>1293292394.746572</v>
      </c>
      <c r="H2" s="2">
        <f>G2*Parameters!$B$4</f>
        <v>33625602.263410874</v>
      </c>
      <c r="I2" s="2">
        <f>1/POWER(1+Parameters!$B$5, A2)</f>
        <v>0.90909090909090906</v>
      </c>
      <c r="J2" s="6">
        <f t="shared" ref="J2:J33" si="0">H2*I2</f>
        <v>30568729.330373522</v>
      </c>
      <c r="K2" s="6">
        <f>SUM($G$2:G2)</f>
        <v>1293292394.746572</v>
      </c>
      <c r="L2">
        <f>F2*0.95</f>
        <v>767892.35938077711</v>
      </c>
      <c r="M2" s="14">
        <f>L2*IF(E2="",Parameters!$B$2,E2)</f>
        <v>1228627775.0092435</v>
      </c>
      <c r="N2" s="17">
        <f>M2*0.0251</f>
        <v>30838557.152732011</v>
      </c>
      <c r="O2" s="17">
        <f>N2*I2</f>
        <v>28035051.957029101</v>
      </c>
    </row>
    <row r="3" spans="1:15">
      <c r="A3" s="2">
        <v>2</v>
      </c>
      <c r="B3" s="2">
        <v>15000000</v>
      </c>
      <c r="C3" s="2">
        <v>2.044</v>
      </c>
      <c r="D3" s="2">
        <v>0.82</v>
      </c>
      <c r="E3" s="2">
        <v>1600</v>
      </c>
      <c r="F3" s="2">
        <f>IFERROR(B3*C3*IF(D3="", Parameters!$B$2, D3)/Parameters!$B$6, 0)</f>
        <v>808307.74671660748</v>
      </c>
      <c r="G3" s="13">
        <f>F3*IF(E3="", Parameters!$B$2, E3)</f>
        <v>1293292394.746572</v>
      </c>
      <c r="H3" s="2">
        <f>G3*Parameters!$B$4</f>
        <v>33625602.263410874</v>
      </c>
      <c r="I3" s="2">
        <f>1/POWER(1+Parameters!$B$5, A3)</f>
        <v>0.82644628099173545</v>
      </c>
      <c r="J3" s="6">
        <f t="shared" si="0"/>
        <v>27789753.936703198</v>
      </c>
      <c r="K3" s="6">
        <f>SUM($G$2:G3)</f>
        <v>2586584789.493144</v>
      </c>
      <c r="L3">
        <f t="shared" ref="L3:L33" si="1">F3*0.95</f>
        <v>767892.35938077711</v>
      </c>
      <c r="M3" s="14">
        <f>L3*IF(E3="",Parameters!$B$2,E3)</f>
        <v>1228627775.0092435</v>
      </c>
      <c r="N3" s="17">
        <f t="shared" ref="N3:N28" si="2">M3*0.0251</f>
        <v>30838557.152732011</v>
      </c>
      <c r="O3" s="17">
        <f t="shared" ref="O3:O28" si="3">N3*I3</f>
        <v>25486410.870026454</v>
      </c>
    </row>
    <row r="4" spans="1:15">
      <c r="A4" s="2">
        <v>3</v>
      </c>
      <c r="B4" s="2">
        <v>15000000</v>
      </c>
      <c r="C4" s="2">
        <v>2.044</v>
      </c>
      <c r="D4" s="2">
        <v>0.82</v>
      </c>
      <c r="E4" s="2">
        <v>1600</v>
      </c>
      <c r="F4" s="2">
        <f>IFERROR(B4*C4*IF(D4="", Parameters!$B$2, D4)/Parameters!$B$6, 0)</f>
        <v>808307.74671660748</v>
      </c>
      <c r="G4" s="13">
        <f>F4*IF(E4="", Parameters!$B$2, E4)</f>
        <v>1293292394.746572</v>
      </c>
      <c r="H4" s="2">
        <f>G4*Parameters!$B$4</f>
        <v>33625602.263410874</v>
      </c>
      <c r="I4" s="2">
        <f>1/POWER(1+Parameters!$B$5, A4)</f>
        <v>0.75131480090157754</v>
      </c>
      <c r="J4" s="6">
        <f t="shared" si="0"/>
        <v>25263412.669730175</v>
      </c>
      <c r="K4" s="6">
        <f>SUM($G$2:G4)</f>
        <v>3879877184.2397161</v>
      </c>
      <c r="L4">
        <f t="shared" si="1"/>
        <v>767892.35938077711</v>
      </c>
      <c r="M4" s="14">
        <f>L4*IF(E4="",Parameters!$B$2,E4)</f>
        <v>1228627775.0092435</v>
      </c>
      <c r="N4" s="17">
        <f t="shared" si="2"/>
        <v>30838557.152732011</v>
      </c>
      <c r="O4" s="17">
        <f t="shared" si="3"/>
        <v>23169464.427296769</v>
      </c>
    </row>
    <row r="5" spans="1:15">
      <c r="A5" s="2">
        <v>4</v>
      </c>
      <c r="B5" s="2">
        <v>15000000</v>
      </c>
      <c r="C5" s="2">
        <v>2.044</v>
      </c>
      <c r="D5" s="2">
        <v>0.82</v>
      </c>
      <c r="E5" s="2">
        <v>1600</v>
      </c>
      <c r="F5" s="2">
        <f>IFERROR(B5*C5*IF(D5="", Parameters!$B$2, D5)/Parameters!$B$6, 0)</f>
        <v>808307.74671660748</v>
      </c>
      <c r="G5" s="13">
        <f>F5*IF(E5="", Parameters!$B$2, E5)</f>
        <v>1293292394.746572</v>
      </c>
      <c r="H5" s="2">
        <f>G5*Parameters!$B$4</f>
        <v>33625602.263410874</v>
      </c>
      <c r="I5" s="2">
        <f>1/POWER(1+Parameters!$B$5, A5)</f>
        <v>0.68301345536507052</v>
      </c>
      <c r="J5" s="6">
        <f t="shared" si="0"/>
        <v>22966738.790663797</v>
      </c>
      <c r="K5" s="6">
        <f>SUM($G$2:G5)</f>
        <v>5173169578.9862881</v>
      </c>
      <c r="L5">
        <f t="shared" si="1"/>
        <v>767892.35938077711</v>
      </c>
      <c r="M5" s="14">
        <f>L5*IF(E5="",Parameters!$B$2,E5)</f>
        <v>1228627775.0092435</v>
      </c>
      <c r="N5" s="17">
        <f t="shared" si="2"/>
        <v>30838557.152732011</v>
      </c>
      <c r="O5" s="17">
        <f t="shared" si="3"/>
        <v>21063149.479360703</v>
      </c>
    </row>
    <row r="6" spans="1:15">
      <c r="A6" s="2">
        <v>5</v>
      </c>
      <c r="B6" s="2">
        <v>15000000</v>
      </c>
      <c r="C6" s="2">
        <v>2.044</v>
      </c>
      <c r="D6" s="2">
        <v>0.82</v>
      </c>
      <c r="E6" s="2">
        <v>1600</v>
      </c>
      <c r="F6" s="2">
        <f>IFERROR(B6*C6*IF(D6="", Parameters!$B$2, D6)/Parameters!$B$6, 0)</f>
        <v>808307.74671660748</v>
      </c>
      <c r="G6" s="13">
        <f>F6*IF(E6="", Parameters!$B$2, E6)</f>
        <v>1293292394.746572</v>
      </c>
      <c r="H6" s="2">
        <f>G6*Parameters!$B$4</f>
        <v>33625602.263410874</v>
      </c>
      <c r="I6" s="2">
        <f>1/POWER(1+Parameters!$B$5, A6)</f>
        <v>0.62092132305915493</v>
      </c>
      <c r="J6" s="6">
        <f t="shared" si="0"/>
        <v>20878853.446057994</v>
      </c>
      <c r="K6" s="6">
        <f>SUM($G$2:G6)</f>
        <v>6466461973.7328606</v>
      </c>
      <c r="L6">
        <f t="shared" si="1"/>
        <v>767892.35938077711</v>
      </c>
      <c r="M6" s="14">
        <f>L6*IF(E6="",Parameters!$B$2,E6)</f>
        <v>1228627775.0092435</v>
      </c>
      <c r="N6" s="17">
        <f t="shared" si="2"/>
        <v>30838557.152732011</v>
      </c>
      <c r="O6" s="17">
        <f t="shared" si="3"/>
        <v>19148317.708509725</v>
      </c>
    </row>
    <row r="7" spans="1:15">
      <c r="A7" s="2">
        <v>6</v>
      </c>
      <c r="B7" s="2">
        <v>15000000</v>
      </c>
      <c r="C7" s="2">
        <v>2.044</v>
      </c>
      <c r="D7" s="2">
        <v>0.82</v>
      </c>
      <c r="E7" s="2">
        <v>1600</v>
      </c>
      <c r="F7" s="2">
        <f>IFERROR(B7*C7*IF(D7="", Parameters!$B$2, D7)/Parameters!$B$6, 0)</f>
        <v>808307.74671660748</v>
      </c>
      <c r="G7" s="13">
        <f>F7*IF(E7="", Parameters!$B$2, E7)</f>
        <v>1293292394.746572</v>
      </c>
      <c r="H7" s="2">
        <f>G7*Parameters!$B$4</f>
        <v>33625602.263410874</v>
      </c>
      <c r="I7" s="2">
        <f>1/POWER(1+Parameters!$B$5, A7)</f>
        <v>0.56447393005377722</v>
      </c>
      <c r="J7" s="6">
        <f t="shared" si="0"/>
        <v>18980775.860052723</v>
      </c>
      <c r="K7" s="6">
        <f>SUM($G$2:G7)</f>
        <v>7759754368.4794331</v>
      </c>
      <c r="L7">
        <f t="shared" si="1"/>
        <v>767892.35938077711</v>
      </c>
      <c r="M7" s="14">
        <f>L7*IF(E7="",Parameters!$B$2,E7)</f>
        <v>1228627775.0092435</v>
      </c>
      <c r="N7" s="17">
        <f t="shared" si="2"/>
        <v>30838557.152732011</v>
      </c>
      <c r="O7" s="17">
        <f t="shared" si="3"/>
        <v>17407561.55319066</v>
      </c>
    </row>
    <row r="8" spans="1:15">
      <c r="A8" s="2">
        <v>7</v>
      </c>
      <c r="B8" s="2">
        <v>15000000</v>
      </c>
      <c r="C8" s="2">
        <v>2.044</v>
      </c>
      <c r="D8" s="2">
        <v>0.82</v>
      </c>
      <c r="E8" s="2">
        <v>1600</v>
      </c>
      <c r="F8" s="2">
        <f>IFERROR(B8*C8*IF(D8="", Parameters!$B$2, D8)/Parameters!$B$6, 0)</f>
        <v>808307.74671660748</v>
      </c>
      <c r="G8" s="13">
        <f>F8*IF(E8="", Parameters!$B$2, E8)</f>
        <v>1293292394.746572</v>
      </c>
      <c r="H8" s="2">
        <f>G8*Parameters!$B$4</f>
        <v>33625602.263410874</v>
      </c>
      <c r="I8" s="2">
        <f>1/POWER(1+Parameters!$B$5, A8)</f>
        <v>0.51315811823070645</v>
      </c>
      <c r="J8" s="6">
        <f t="shared" si="0"/>
        <v>17255250.781866107</v>
      </c>
      <c r="K8" s="6">
        <f>SUM($G$2:G8)</f>
        <v>9053046763.2260056</v>
      </c>
      <c r="L8">
        <f t="shared" si="1"/>
        <v>767892.35938077711</v>
      </c>
      <c r="M8" s="14">
        <f>L8*IF(E8="",Parameters!$B$2,E8)</f>
        <v>1228627775.0092435</v>
      </c>
      <c r="N8" s="17">
        <f t="shared" si="2"/>
        <v>30838557.152732011</v>
      </c>
      <c r="O8" s="17">
        <f t="shared" si="3"/>
        <v>15825055.957446052</v>
      </c>
    </row>
    <row r="9" spans="1:15">
      <c r="A9" s="2">
        <v>8</v>
      </c>
      <c r="B9" s="2">
        <v>15000000</v>
      </c>
      <c r="C9" s="2">
        <v>2.044</v>
      </c>
      <c r="D9" s="2">
        <v>0.82</v>
      </c>
      <c r="E9" s="2">
        <v>1600</v>
      </c>
      <c r="F9" s="2">
        <f>IFERROR(B9*C9*IF(D9="", Parameters!$B$2, D9)/Parameters!$B$6, 0)</f>
        <v>808307.74671660748</v>
      </c>
      <c r="G9" s="13">
        <f>F9*IF(E9="", Parameters!$B$2, E9)</f>
        <v>1293292394.746572</v>
      </c>
      <c r="H9" s="2">
        <f>G9*Parameters!$B$4</f>
        <v>33625602.263410874</v>
      </c>
      <c r="I9" s="2">
        <f>1/POWER(1+Parameters!$B$5, A9)</f>
        <v>0.46650738020973315</v>
      </c>
      <c r="J9" s="6">
        <f t="shared" si="0"/>
        <v>15686591.619878279</v>
      </c>
      <c r="K9" s="6">
        <f>SUM($G$2:G9)</f>
        <v>10346339157.972578</v>
      </c>
      <c r="L9">
        <f t="shared" si="1"/>
        <v>767892.35938077711</v>
      </c>
      <c r="M9" s="14">
        <f>L9*IF(E9="",Parameters!$B$2,E9)</f>
        <v>1228627775.0092435</v>
      </c>
      <c r="N9" s="17">
        <f t="shared" si="2"/>
        <v>30838557.152732011</v>
      </c>
      <c r="O9" s="17">
        <f t="shared" si="3"/>
        <v>14386414.506769137</v>
      </c>
    </row>
    <row r="10" spans="1:15">
      <c r="A10" s="2">
        <v>9</v>
      </c>
      <c r="B10" s="2">
        <v>15000000</v>
      </c>
      <c r="C10" s="2">
        <v>2.044</v>
      </c>
      <c r="D10" s="2">
        <v>0.82</v>
      </c>
      <c r="E10" s="2">
        <v>1600</v>
      </c>
      <c r="F10" s="2">
        <f>IFERROR(B10*C10*IF(D10="", Parameters!$B$2, D10)/Parameters!$B$6, 0)</f>
        <v>808307.74671660748</v>
      </c>
      <c r="G10" s="13">
        <f>F10*IF(E10="", Parameters!$B$2, E10)</f>
        <v>1293292394.746572</v>
      </c>
      <c r="H10" s="2">
        <f>G10*Parameters!$B$4</f>
        <v>33625602.263410874</v>
      </c>
      <c r="I10" s="2">
        <f>1/POWER(1+Parameters!$B$5, A10)</f>
        <v>0.42409761837248466</v>
      </c>
      <c r="J10" s="6">
        <f t="shared" si="0"/>
        <v>14260537.836252982</v>
      </c>
      <c r="K10" s="6">
        <f>SUM($G$2:G10)</f>
        <v>11639631552.719151</v>
      </c>
      <c r="L10">
        <f t="shared" si="1"/>
        <v>767892.35938077711</v>
      </c>
      <c r="M10" s="14">
        <f>L10*IF(E10="",Parameters!$B$2,E10)</f>
        <v>1228627775.0092435</v>
      </c>
      <c r="N10" s="17">
        <f t="shared" si="2"/>
        <v>30838557.152732011</v>
      </c>
      <c r="O10" s="17">
        <f t="shared" si="3"/>
        <v>13078558.642517397</v>
      </c>
    </row>
    <row r="11" spans="1:15">
      <c r="A11" s="2">
        <v>10</v>
      </c>
      <c r="B11" s="2">
        <v>15000000</v>
      </c>
      <c r="C11" s="2">
        <v>2.044</v>
      </c>
      <c r="D11" s="2">
        <v>0.82</v>
      </c>
      <c r="E11" s="2">
        <v>1600</v>
      </c>
      <c r="F11" s="2">
        <f>IFERROR(B11*C11*IF(D11="", Parameters!$B$2, D11)/Parameters!$B$6, 0)</f>
        <v>808307.74671660748</v>
      </c>
      <c r="G11" s="13">
        <f>F11*IF(E11="", Parameters!$B$2, E11)</f>
        <v>1293292394.746572</v>
      </c>
      <c r="H11" s="2">
        <f>G11*Parameters!$B$4</f>
        <v>33625602.263410874</v>
      </c>
      <c r="I11" s="2">
        <f>1/POWER(1+Parameters!$B$5, A11)</f>
        <v>0.38554328942953148</v>
      </c>
      <c r="J11" s="6">
        <f t="shared" si="0"/>
        <v>12964125.305684527</v>
      </c>
      <c r="K11" s="6">
        <f>SUM($G$2:G11)</f>
        <v>12932923947.465723</v>
      </c>
      <c r="L11">
        <f t="shared" si="1"/>
        <v>767892.35938077711</v>
      </c>
      <c r="M11" s="14">
        <f>L11*IF(E11="",Parameters!$B$2,E11)</f>
        <v>1228627775.0092435</v>
      </c>
      <c r="N11" s="17">
        <f t="shared" si="2"/>
        <v>30838557.152732011</v>
      </c>
      <c r="O11" s="17">
        <f t="shared" si="3"/>
        <v>11889598.765924906</v>
      </c>
    </row>
    <row r="12" spans="1:15">
      <c r="A12" s="2">
        <v>11</v>
      </c>
      <c r="B12" s="2">
        <v>15000000</v>
      </c>
      <c r="C12" s="2">
        <v>2.044</v>
      </c>
      <c r="D12" s="2">
        <v>0.82</v>
      </c>
      <c r="E12" s="2">
        <v>1600</v>
      </c>
      <c r="F12" s="2">
        <f>IFERROR(B12*C12*IF(D12="", Parameters!$B$2, D12)/Parameters!$B$6, 0)</f>
        <v>808307.74671660748</v>
      </c>
      <c r="G12" s="13">
        <f>F12*IF(E12="", Parameters!$B$2, E12)</f>
        <v>1293292394.746572</v>
      </c>
      <c r="H12" s="2">
        <f>G12*Parameters!$B$4</f>
        <v>33625602.263410874</v>
      </c>
      <c r="I12" s="2">
        <f>1/POWER(1+Parameters!$B$5, A12)</f>
        <v>0.3504938994813922</v>
      </c>
      <c r="J12" s="6">
        <f t="shared" si="0"/>
        <v>11785568.459713206</v>
      </c>
      <c r="K12" s="6">
        <f>SUM($G$2:G12)</f>
        <v>14226216342.212296</v>
      </c>
      <c r="L12">
        <f t="shared" si="1"/>
        <v>767892.35938077711</v>
      </c>
      <c r="M12" s="14">
        <f>L12*IF(E12="",Parameters!$B$2,E12)</f>
        <v>1228627775.0092435</v>
      </c>
      <c r="N12" s="17">
        <f t="shared" si="2"/>
        <v>30838557.152732011</v>
      </c>
      <c r="O12" s="17">
        <f t="shared" si="3"/>
        <v>10808726.150840823</v>
      </c>
    </row>
    <row r="13" spans="1:15">
      <c r="A13" s="2">
        <v>12</v>
      </c>
      <c r="B13" s="2">
        <v>15000000</v>
      </c>
      <c r="C13" s="2">
        <v>2.044</v>
      </c>
      <c r="D13" s="2">
        <v>0.82</v>
      </c>
      <c r="E13" s="2">
        <v>1600</v>
      </c>
      <c r="F13" s="2">
        <f>IFERROR(B13*C13*IF(D13="", Parameters!$B$2, D13)/Parameters!$B$6, 0)</f>
        <v>808307.74671660748</v>
      </c>
      <c r="G13" s="13">
        <f>F13*IF(E13="", Parameters!$B$2, E13)</f>
        <v>1293292394.746572</v>
      </c>
      <c r="H13" s="2">
        <f>G13*Parameters!$B$4</f>
        <v>33625602.263410874</v>
      </c>
      <c r="I13" s="2">
        <f>1/POWER(1+Parameters!$B$5, A13)</f>
        <v>0.31863081771035656</v>
      </c>
      <c r="J13" s="6">
        <f t="shared" si="0"/>
        <v>10714153.145193823</v>
      </c>
      <c r="K13" s="6">
        <f>SUM($G$2:G13)</f>
        <v>15519508736.958868</v>
      </c>
      <c r="L13">
        <f t="shared" si="1"/>
        <v>767892.35938077711</v>
      </c>
      <c r="M13" s="14">
        <f>L13*IF(E13="",Parameters!$B$2,E13)</f>
        <v>1228627775.0092435</v>
      </c>
      <c r="N13" s="17">
        <f t="shared" si="2"/>
        <v>30838557.152732011</v>
      </c>
      <c r="O13" s="17">
        <f t="shared" si="3"/>
        <v>9826114.6825825665</v>
      </c>
    </row>
    <row r="14" spans="1:15">
      <c r="A14" s="2">
        <v>13</v>
      </c>
      <c r="B14" s="2">
        <v>15000000</v>
      </c>
      <c r="C14" s="2">
        <v>2.044</v>
      </c>
      <c r="D14" s="2">
        <v>0.82</v>
      </c>
      <c r="E14" s="2">
        <v>1600</v>
      </c>
      <c r="F14" s="2">
        <f>IFERROR(B14*C14*IF(D14="", Parameters!$B$2, D14)/Parameters!$B$6, 0)</f>
        <v>808307.74671660748</v>
      </c>
      <c r="G14" s="13">
        <f>F14*IF(E14="", Parameters!$B$2, E14)</f>
        <v>1293292394.746572</v>
      </c>
      <c r="H14" s="2">
        <f>G14*Parameters!$B$4</f>
        <v>33625602.263410874</v>
      </c>
      <c r="I14" s="2">
        <f>1/POWER(1+Parameters!$B$5, A14)</f>
        <v>0.28966437973668779</v>
      </c>
      <c r="J14" s="6">
        <f t="shared" si="0"/>
        <v>9740139.2229034752</v>
      </c>
      <c r="K14" s="6">
        <f>SUM($G$2:G14)</f>
        <v>16812801131.705441</v>
      </c>
      <c r="L14">
        <f t="shared" si="1"/>
        <v>767892.35938077711</v>
      </c>
      <c r="M14" s="14">
        <f>L14*IF(E14="",Parameters!$B$2,E14)</f>
        <v>1228627775.0092435</v>
      </c>
      <c r="N14" s="17">
        <f t="shared" si="2"/>
        <v>30838557.152732011</v>
      </c>
      <c r="O14" s="17">
        <f t="shared" si="3"/>
        <v>8932831.5296205152</v>
      </c>
    </row>
    <row r="15" spans="1:15">
      <c r="A15" s="2">
        <v>14</v>
      </c>
      <c r="B15" s="2">
        <v>15000000</v>
      </c>
      <c r="C15" s="2">
        <v>2.044</v>
      </c>
      <c r="D15" s="2">
        <v>0.82</v>
      </c>
      <c r="E15" s="2">
        <v>1600</v>
      </c>
      <c r="F15" s="2">
        <f>IFERROR(B15*C15*IF(D15="", Parameters!$B$2, D15)/Parameters!$B$6, 0)</f>
        <v>808307.74671660748</v>
      </c>
      <c r="G15" s="13">
        <f>F15*IF(E15="", Parameters!$B$2, E15)</f>
        <v>1293292394.746572</v>
      </c>
      <c r="H15" s="2">
        <f>G15*Parameters!$B$4</f>
        <v>33625602.263410874</v>
      </c>
      <c r="I15" s="2">
        <f>1/POWER(1+Parameters!$B$5, A15)</f>
        <v>0.26333125430607973</v>
      </c>
      <c r="J15" s="6">
        <f t="shared" si="0"/>
        <v>8854672.0208213385</v>
      </c>
      <c r="K15" s="6">
        <f>SUM($G$2:G15)</f>
        <v>18106093526.452011</v>
      </c>
      <c r="L15">
        <f t="shared" si="1"/>
        <v>767892.35938077711</v>
      </c>
      <c r="M15" s="14">
        <f>L15*IF(E15="",Parameters!$B$2,E15)</f>
        <v>1228627775.0092435</v>
      </c>
      <c r="N15" s="17">
        <f t="shared" si="2"/>
        <v>30838557.152732011</v>
      </c>
      <c r="O15" s="17">
        <f t="shared" si="3"/>
        <v>8120755.9360186476</v>
      </c>
    </row>
    <row r="16" spans="1:15">
      <c r="A16" s="2">
        <v>15</v>
      </c>
      <c r="B16" s="2">
        <v>15000000</v>
      </c>
      <c r="C16" s="2">
        <v>2.044</v>
      </c>
      <c r="D16" s="2">
        <v>0.82</v>
      </c>
      <c r="E16" s="2">
        <v>1600</v>
      </c>
      <c r="F16" s="2">
        <f>IFERROR(B16*C16*IF(D16="", Parameters!$B$2, D16)/Parameters!$B$6, 0)</f>
        <v>808307.74671660748</v>
      </c>
      <c r="G16" s="13">
        <f>F16*IF(E16="", Parameters!$B$2, E16)</f>
        <v>1293292394.746572</v>
      </c>
      <c r="H16" s="2">
        <f>G16*Parameters!$B$4</f>
        <v>33625602.263410874</v>
      </c>
      <c r="I16" s="2">
        <f>1/POWER(1+Parameters!$B$5, A16)</f>
        <v>0.23939204936916339</v>
      </c>
      <c r="J16" s="6">
        <f t="shared" si="0"/>
        <v>8049701.837110308</v>
      </c>
      <c r="K16" s="6">
        <f>SUM($G$2:G16)</f>
        <v>19399385921.198582</v>
      </c>
      <c r="L16">
        <f t="shared" si="1"/>
        <v>767892.35938077711</v>
      </c>
      <c r="M16" s="14">
        <f>L16*IF(E16="",Parameters!$B$2,E16)</f>
        <v>1228627775.0092435</v>
      </c>
      <c r="N16" s="17">
        <f t="shared" si="2"/>
        <v>30838557.152732011</v>
      </c>
      <c r="O16" s="17">
        <f t="shared" si="3"/>
        <v>7382505.3963805884</v>
      </c>
    </row>
    <row r="17" spans="1:15">
      <c r="A17" s="2">
        <v>16</v>
      </c>
      <c r="B17" s="2">
        <v>15000000</v>
      </c>
      <c r="C17" s="2">
        <v>2.044</v>
      </c>
      <c r="D17" s="2">
        <v>0.82</v>
      </c>
      <c r="E17" s="2">
        <v>1600</v>
      </c>
      <c r="F17" s="2">
        <f>IFERROR(B17*C17*IF(D17="", Parameters!$B$2, D17)/Parameters!$B$6, 0)</f>
        <v>808307.74671660748</v>
      </c>
      <c r="G17" s="13">
        <f>F17*IF(E17="", Parameters!$B$2, E17)</f>
        <v>1293292394.746572</v>
      </c>
      <c r="H17" s="2">
        <f>G17*Parameters!$B$4</f>
        <v>33625602.263410874</v>
      </c>
      <c r="I17" s="2">
        <f>1/POWER(1+Parameters!$B$5, A17)</f>
        <v>0.21762913579014853</v>
      </c>
      <c r="J17" s="6">
        <f t="shared" si="0"/>
        <v>7317910.7610093709</v>
      </c>
      <c r="K17" s="6">
        <f>SUM($G$2:G17)</f>
        <v>20692678315.945152</v>
      </c>
      <c r="L17">
        <f t="shared" si="1"/>
        <v>767892.35938077711</v>
      </c>
      <c r="M17" s="14">
        <f>L17*IF(E17="",Parameters!$B$2,E17)</f>
        <v>1228627775.0092435</v>
      </c>
      <c r="N17" s="17">
        <f t="shared" si="2"/>
        <v>30838557.152732011</v>
      </c>
      <c r="O17" s="17">
        <f t="shared" si="3"/>
        <v>6711368.5421641711</v>
      </c>
    </row>
    <row r="18" spans="1:15">
      <c r="A18" s="2">
        <v>17</v>
      </c>
      <c r="B18" s="2">
        <v>15000000</v>
      </c>
      <c r="C18" s="2">
        <v>2.044</v>
      </c>
      <c r="D18" s="2">
        <v>0.82</v>
      </c>
      <c r="E18" s="2">
        <v>1600</v>
      </c>
      <c r="F18" s="2">
        <f>IFERROR(B18*C18*IF(D18="", Parameters!$B$2, D18)/Parameters!$B$6, 0)</f>
        <v>808307.74671660748</v>
      </c>
      <c r="G18" s="13">
        <f>F18*IF(E18="", Parameters!$B$2, E18)</f>
        <v>1293292394.746572</v>
      </c>
      <c r="H18" s="2">
        <f>G18*Parameters!$B$4</f>
        <v>33625602.263410874</v>
      </c>
      <c r="I18" s="2">
        <f>1/POWER(1+Parameters!$B$5, A18)</f>
        <v>0.19784466890013502</v>
      </c>
      <c r="J18" s="6">
        <f t="shared" si="0"/>
        <v>6652646.1463721553</v>
      </c>
      <c r="K18" s="6">
        <f>SUM($G$2:G18)</f>
        <v>21985970710.691723</v>
      </c>
      <c r="L18">
        <f t="shared" si="1"/>
        <v>767892.35938077711</v>
      </c>
      <c r="M18" s="14">
        <f>L18*IF(E18="",Parameters!$B$2,E18)</f>
        <v>1228627775.0092435</v>
      </c>
      <c r="N18" s="17">
        <f t="shared" si="2"/>
        <v>30838557.152732011</v>
      </c>
      <c r="O18" s="17">
        <f t="shared" si="3"/>
        <v>6101244.1292401552</v>
      </c>
    </row>
    <row r="19" spans="1:15">
      <c r="A19" s="2">
        <v>18</v>
      </c>
      <c r="B19" s="2">
        <v>15000000</v>
      </c>
      <c r="C19" s="2">
        <v>2.044</v>
      </c>
      <c r="D19" s="2">
        <v>0.82</v>
      </c>
      <c r="E19" s="2">
        <v>1600</v>
      </c>
      <c r="F19" s="2">
        <f>IFERROR(B19*C19*IF(D19="", Parameters!$B$2, D19)/Parameters!$B$6, 0)</f>
        <v>808307.74671660748</v>
      </c>
      <c r="G19" s="13">
        <f>F19*IF(E19="", Parameters!$B$2, E19)</f>
        <v>1293292394.746572</v>
      </c>
      <c r="H19" s="2">
        <f>G19*Parameters!$B$4</f>
        <v>33625602.263410874</v>
      </c>
      <c r="I19" s="2">
        <f>1/POWER(1+Parameters!$B$5, A19)</f>
        <v>0.17985878990921364</v>
      </c>
      <c r="J19" s="6">
        <f t="shared" si="0"/>
        <v>6047860.1330655953</v>
      </c>
      <c r="K19" s="6">
        <f>SUM($G$2:G19)</f>
        <v>23279263105.438293</v>
      </c>
      <c r="L19">
        <f t="shared" si="1"/>
        <v>767892.35938077711</v>
      </c>
      <c r="M19" s="14">
        <f>L19*IF(E19="",Parameters!$B$2,E19)</f>
        <v>1228627775.0092435</v>
      </c>
      <c r="N19" s="17">
        <f t="shared" si="2"/>
        <v>30838557.152732011</v>
      </c>
      <c r="O19" s="17">
        <f t="shared" si="3"/>
        <v>5546585.5720365047</v>
      </c>
    </row>
    <row r="20" spans="1:15">
      <c r="A20" s="2">
        <v>19</v>
      </c>
      <c r="B20" s="2">
        <v>15000000</v>
      </c>
      <c r="C20" s="2">
        <v>2.044</v>
      </c>
      <c r="D20" s="2">
        <v>0.82</v>
      </c>
      <c r="E20" s="2">
        <v>1600</v>
      </c>
      <c r="F20" s="2">
        <f>IFERROR(B20*C20*IF(D20="", Parameters!$B$2, D20)/Parameters!$B$6, 0)</f>
        <v>808307.74671660748</v>
      </c>
      <c r="G20" s="13">
        <f>F20*IF(E20="", Parameters!$B$2, E20)</f>
        <v>1293292394.746572</v>
      </c>
      <c r="H20" s="2">
        <f>G20*Parameters!$B$4</f>
        <v>33625602.263410874</v>
      </c>
      <c r="I20" s="2">
        <f>1/POWER(1+Parameters!$B$5, A20)</f>
        <v>0.16350799082655781</v>
      </c>
      <c r="J20" s="6">
        <f t="shared" si="0"/>
        <v>5498054.6664232668</v>
      </c>
      <c r="K20" s="6">
        <f>SUM($G$2:G20)</f>
        <v>24572555500.184864</v>
      </c>
      <c r="L20">
        <f t="shared" si="1"/>
        <v>767892.35938077711</v>
      </c>
      <c r="M20" s="14">
        <f>L20*IF(E20="",Parameters!$B$2,E20)</f>
        <v>1228627775.0092435</v>
      </c>
      <c r="N20" s="17">
        <f t="shared" si="2"/>
        <v>30838557.152732011</v>
      </c>
      <c r="O20" s="17">
        <f t="shared" si="3"/>
        <v>5042350.5200331844</v>
      </c>
    </row>
    <row r="21" spans="1:15">
      <c r="A21" s="2">
        <v>20</v>
      </c>
      <c r="B21" s="2">
        <v>15000000</v>
      </c>
      <c r="C21" s="2">
        <v>2.044</v>
      </c>
      <c r="D21" s="2">
        <v>0.82</v>
      </c>
      <c r="E21" s="2">
        <v>1600</v>
      </c>
      <c r="F21" s="2">
        <f>IFERROR(B21*C21*IF(D21="", Parameters!$B$2, D21)/Parameters!$B$6, 0)</f>
        <v>808307.74671660748</v>
      </c>
      <c r="G21" s="13">
        <f>F21*IF(E21="", Parameters!$B$2, E21)</f>
        <v>1293292394.746572</v>
      </c>
      <c r="H21" s="2">
        <f>G21*Parameters!$B$4</f>
        <v>33625602.263410874</v>
      </c>
      <c r="I21" s="2">
        <f>1/POWER(1+Parameters!$B$5, A21)</f>
        <v>0.14864362802414349</v>
      </c>
      <c r="J21" s="6">
        <f t="shared" si="0"/>
        <v>4998231.5149302436</v>
      </c>
      <c r="K21" s="6">
        <f>SUM($G$2:G21)</f>
        <v>25865847894.931435</v>
      </c>
      <c r="L21">
        <f t="shared" si="1"/>
        <v>767892.35938077711</v>
      </c>
      <c r="M21" s="14">
        <f>L21*IF(E21="",Parameters!$B$2,E21)</f>
        <v>1228627775.0092435</v>
      </c>
      <c r="N21" s="17">
        <f t="shared" si="2"/>
        <v>30838557.152732011</v>
      </c>
      <c r="O21" s="17">
        <f t="shared" si="3"/>
        <v>4583955.0182119869</v>
      </c>
    </row>
    <row r="22" spans="1:15">
      <c r="A22" s="2">
        <v>21</v>
      </c>
      <c r="B22" s="2">
        <v>15000000</v>
      </c>
      <c r="C22" s="2">
        <v>2.044</v>
      </c>
      <c r="D22" s="2">
        <v>0.82</v>
      </c>
      <c r="E22" s="2">
        <v>1600</v>
      </c>
      <c r="F22" s="2">
        <f>IFERROR(B22*C22*IF(D22="", Parameters!$B$2, D22)/Parameters!$B$6, 0)</f>
        <v>808307.74671660748</v>
      </c>
      <c r="G22" s="13">
        <f>F22*IF(E22="", Parameters!$B$2, E22)</f>
        <v>1293292394.746572</v>
      </c>
      <c r="H22" s="2">
        <f>G22*Parameters!$B$4</f>
        <v>33625602.263410874</v>
      </c>
      <c r="I22" s="2">
        <f>1/POWER(1+Parameters!$B$5, A22)</f>
        <v>0.13513057093103953</v>
      </c>
      <c r="J22" s="6">
        <f t="shared" si="0"/>
        <v>4543846.8317547664</v>
      </c>
      <c r="K22" s="6">
        <f>SUM($G$2:G22)</f>
        <v>27159140289.678005</v>
      </c>
      <c r="L22">
        <f t="shared" si="1"/>
        <v>767892.35938077711</v>
      </c>
      <c r="M22" s="14">
        <f>L22*IF(E22="",Parameters!$B$2,E22)</f>
        <v>1228627775.0092435</v>
      </c>
      <c r="N22" s="17">
        <f t="shared" si="2"/>
        <v>30838557.152732011</v>
      </c>
      <c r="O22" s="17">
        <f t="shared" si="3"/>
        <v>4167231.8347381693</v>
      </c>
    </row>
    <row r="23" spans="1:15">
      <c r="A23" s="2">
        <v>22</v>
      </c>
      <c r="B23" s="2">
        <v>15000000</v>
      </c>
      <c r="C23" s="2">
        <v>2.044</v>
      </c>
      <c r="D23" s="2">
        <v>0.82</v>
      </c>
      <c r="E23" s="2">
        <v>1600</v>
      </c>
      <c r="F23" s="2">
        <f>IFERROR(B23*C23*IF(D23="", Parameters!$B$2, D23)/Parameters!$B$6, 0)</f>
        <v>808307.74671660748</v>
      </c>
      <c r="G23" s="13">
        <f>F23*IF(E23="", Parameters!$B$2, E23)</f>
        <v>1293292394.746572</v>
      </c>
      <c r="H23" s="2">
        <f>G23*Parameters!$B$4</f>
        <v>33625602.263410874</v>
      </c>
      <c r="I23" s="2">
        <f>1/POWER(1+Parameters!$B$5, A23)</f>
        <v>0.12284597357367227</v>
      </c>
      <c r="J23" s="6">
        <f t="shared" si="0"/>
        <v>4130769.8470497867</v>
      </c>
      <c r="K23" s="6">
        <f>SUM($G$2:G23)</f>
        <v>28452432684.424576</v>
      </c>
      <c r="L23">
        <f t="shared" si="1"/>
        <v>767892.35938077711</v>
      </c>
      <c r="M23" s="14">
        <f>L23*IF(E23="",Parameters!$B$2,E23)</f>
        <v>1228627775.0092435</v>
      </c>
      <c r="N23" s="17">
        <f t="shared" si="2"/>
        <v>30838557.152732011</v>
      </c>
      <c r="O23" s="17">
        <f t="shared" si="3"/>
        <v>3788392.5770346988</v>
      </c>
    </row>
    <row r="24" spans="1:15">
      <c r="A24" s="2">
        <v>23</v>
      </c>
      <c r="B24" s="2">
        <v>15000000</v>
      </c>
      <c r="C24" s="2">
        <v>2.044</v>
      </c>
      <c r="D24" s="2">
        <v>0.82</v>
      </c>
      <c r="E24" s="2">
        <v>1600</v>
      </c>
      <c r="F24" s="2">
        <f>IFERROR(B24*C24*IF(D24="", Parameters!$B$2, D24)/Parameters!$B$6, 0)</f>
        <v>808307.74671660748</v>
      </c>
      <c r="G24" s="13">
        <f>F24*IF(E24="", Parameters!$B$2, E24)</f>
        <v>1293292394.746572</v>
      </c>
      <c r="H24" s="2">
        <f>G24*Parameters!$B$4</f>
        <v>33625602.263410874</v>
      </c>
      <c r="I24" s="2">
        <f>1/POWER(1+Parameters!$B$5, A24)</f>
        <v>0.11167815779424752</v>
      </c>
      <c r="J24" s="6">
        <f t="shared" si="0"/>
        <v>3755245.3154998058</v>
      </c>
      <c r="K24" s="6">
        <f>SUM($G$2:G24)</f>
        <v>29745725079.171146</v>
      </c>
      <c r="L24">
        <f t="shared" si="1"/>
        <v>767892.35938077711</v>
      </c>
      <c r="M24" s="14">
        <f>L24*IF(E24="",Parameters!$B$2,E24)</f>
        <v>1228627775.0092435</v>
      </c>
      <c r="N24" s="17">
        <f t="shared" si="2"/>
        <v>30838557.152732011</v>
      </c>
      <c r="O24" s="17">
        <f t="shared" si="3"/>
        <v>3443993.2518497258</v>
      </c>
    </row>
    <row r="25" spans="1:15">
      <c r="A25" s="2">
        <v>24</v>
      </c>
      <c r="B25" s="2">
        <v>15000000</v>
      </c>
      <c r="C25" s="2">
        <v>2.044</v>
      </c>
      <c r="D25" s="2">
        <v>0.82</v>
      </c>
      <c r="E25" s="2">
        <v>1600</v>
      </c>
      <c r="F25" s="2">
        <f>IFERROR(B25*C25*IF(D25="", Parameters!$B$2, D25)/Parameters!$B$6, 0)</f>
        <v>808307.74671660748</v>
      </c>
      <c r="G25" s="13">
        <f>F25*IF(E25="", Parameters!$B$2, E25)</f>
        <v>1293292394.746572</v>
      </c>
      <c r="H25" s="2">
        <f>G25*Parameters!$B$4</f>
        <v>33625602.263410874</v>
      </c>
      <c r="I25" s="2">
        <f>1/POWER(1+Parameters!$B$5, A25)</f>
        <v>0.10152559799477048</v>
      </c>
      <c r="J25" s="6">
        <f t="shared" si="0"/>
        <v>3413859.3777270969</v>
      </c>
      <c r="K25" s="6">
        <f>SUM($G$2:G25)</f>
        <v>31039017473.917717</v>
      </c>
      <c r="L25">
        <f t="shared" si="1"/>
        <v>767892.35938077711</v>
      </c>
      <c r="M25" s="14">
        <f>L25*IF(E25="",Parameters!$B$2,E25)</f>
        <v>1228627775.0092435</v>
      </c>
      <c r="N25" s="17">
        <f t="shared" si="2"/>
        <v>30838557.152732011</v>
      </c>
      <c r="O25" s="17">
        <f t="shared" si="3"/>
        <v>3130902.9562270241</v>
      </c>
    </row>
    <row r="26" spans="1:15">
      <c r="A26" s="2">
        <v>25</v>
      </c>
      <c r="B26" s="2">
        <v>15000000</v>
      </c>
      <c r="C26" s="2">
        <v>2.044</v>
      </c>
      <c r="D26" s="2">
        <v>0.82</v>
      </c>
      <c r="E26" s="2">
        <v>1600</v>
      </c>
      <c r="F26" s="2">
        <f>IFERROR(B26*C26*IF(D26="", Parameters!$B$2, D26)/Parameters!$B$6, 0)</f>
        <v>808307.74671660748</v>
      </c>
      <c r="G26" s="13">
        <f>F26*IF(E26="", Parameters!$B$2, E26)</f>
        <v>1293292394.746572</v>
      </c>
      <c r="H26" s="2">
        <f>G26*Parameters!$B$4</f>
        <v>33625602.263410874</v>
      </c>
      <c r="I26" s="2">
        <f>1/POWER(1+Parameters!$B$5, A26)</f>
        <v>9.2295998177064048E-2</v>
      </c>
      <c r="J26" s="6">
        <f t="shared" si="0"/>
        <v>3103508.5252064508</v>
      </c>
      <c r="K26" s="6">
        <f>SUM($G$2:G26)</f>
        <v>32332309868.664288</v>
      </c>
      <c r="L26">
        <f t="shared" si="1"/>
        <v>767892.35938077711</v>
      </c>
      <c r="M26" s="14">
        <f>L26*IF(E26="",Parameters!$B$2,E26)</f>
        <v>1228627775.0092435</v>
      </c>
      <c r="N26" s="17">
        <f t="shared" si="2"/>
        <v>30838557.152732011</v>
      </c>
      <c r="O26" s="17">
        <f t="shared" si="3"/>
        <v>2846275.4147518394</v>
      </c>
    </row>
    <row r="27" spans="1:15">
      <c r="A27" s="2">
        <v>26</v>
      </c>
      <c r="B27" s="2">
        <v>15000000</v>
      </c>
      <c r="C27" s="2">
        <v>2.044</v>
      </c>
      <c r="D27" s="2">
        <v>0.82</v>
      </c>
      <c r="E27" s="2">
        <v>1600</v>
      </c>
      <c r="F27" s="2">
        <f>IFERROR(B27*C27*IF(D27="", Parameters!$B$2, D27)/Parameters!$B$6, 0)</f>
        <v>808307.74671660748</v>
      </c>
      <c r="G27" s="13">
        <f>F27*IF(E27="", Parameters!$B$2, E27)</f>
        <v>1293292394.746572</v>
      </c>
      <c r="H27" s="2">
        <f>G27*Parameters!$B$4</f>
        <v>33625602.263410874</v>
      </c>
      <c r="I27" s="2">
        <f>1/POWER(1+Parameters!$B$5, A27)</f>
        <v>8.3905452888240042E-2</v>
      </c>
      <c r="J27" s="6">
        <f t="shared" si="0"/>
        <v>2821371.3865513187</v>
      </c>
      <c r="K27" s="6">
        <f>SUM($G$2:G27)</f>
        <v>33625602263.410858</v>
      </c>
      <c r="L27">
        <f t="shared" si="1"/>
        <v>767892.35938077711</v>
      </c>
      <c r="M27" s="14">
        <f>L27*IF(E27="",Parameters!$B$2,E27)</f>
        <v>1228627775.0092435</v>
      </c>
      <c r="N27" s="17">
        <f t="shared" si="2"/>
        <v>30838557.152732011</v>
      </c>
      <c r="O27" s="17">
        <f t="shared" si="3"/>
        <v>2587523.1043198537</v>
      </c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33625602263.410858</v>
      </c>
      <c r="H39">
        <f>SUM(H2:H33)</f>
        <v>874265658.84868324</v>
      </c>
      <c r="J39" s="11">
        <f>SUM(J2:J27)</f>
        <v>308042308.76859522</v>
      </c>
      <c r="O39" s="11">
        <f>SUM(O2:O27)</f>
        <v>282510340.48412132</v>
      </c>
    </row>
    <row r="40" spans="1:15">
      <c r="F40" s="3" t="s">
        <v>16</v>
      </c>
      <c r="G40" s="10">
        <f>G39</f>
        <v>33625602263.410858</v>
      </c>
    </row>
    <row r="41" spans="1:15">
      <c r="F41" s="3" t="s">
        <v>17</v>
      </c>
      <c r="G41" s="10">
        <f>H39</f>
        <v>874265658.84868324</v>
      </c>
    </row>
    <row r="42" spans="1:15">
      <c r="F42" s="3" t="s">
        <v>9</v>
      </c>
      <c r="G42" s="10">
        <f>J39</f>
        <v>308042308.76859522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B683-CCEC-440E-A7AC-78478DEA0E7A}">
  <sheetPr codeName="Sheet15"/>
  <dimension ref="A1:O42"/>
  <sheetViews>
    <sheetView topLeftCell="A8" workbookViewId="0">
      <pane xSplit="1" topLeftCell="D1" activePane="topRight" state="frozen"/>
      <selection pane="topRight" activeCell="J36" sqref="J36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22000000</v>
      </c>
      <c r="C2" s="2">
        <v>1.948</v>
      </c>
      <c r="D2" s="2">
        <v>0.82</v>
      </c>
      <c r="E2" s="2">
        <v>1600</v>
      </c>
      <c r="F2" s="2">
        <f>IFERROR(B2*C2*IF(D2="", Parameters!$B$2, D2)/Parameters!$B$6, 0)</f>
        <v>1129838.121111772</v>
      </c>
      <c r="G2" s="13">
        <f>F2*IF(E2="", Parameters!$B$2, E2)</f>
        <v>1807740993.7788353</v>
      </c>
      <c r="H2" s="2">
        <f>G2*Parameters!$B$4</f>
        <v>47001265.838249713</v>
      </c>
      <c r="I2" s="2">
        <f>1/POWER(1+Parameters!$B$5, A2)</f>
        <v>0.90909090909090906</v>
      </c>
      <c r="J2" s="6">
        <f t="shared" ref="J2:J33" si="0">H2*I2</f>
        <v>42728423.489317916</v>
      </c>
      <c r="K2" s="6">
        <f>SUM($G$2:G2)</f>
        <v>1807740993.7788353</v>
      </c>
      <c r="L2">
        <f>F2*0.95</f>
        <v>1073346.2150561833</v>
      </c>
      <c r="M2" s="14">
        <f>L2*IF(E2="",Parameters!$B$2,E2)</f>
        <v>1717353944.0898933</v>
      </c>
      <c r="N2" s="17">
        <f>M2*0.0251</f>
        <v>43105583.996656321</v>
      </c>
      <c r="O2" s="17">
        <f>N2*I2</f>
        <v>39186894.542414837</v>
      </c>
    </row>
    <row r="3" spans="1:15">
      <c r="A3" s="2">
        <v>2</v>
      </c>
      <c r="B3" s="2">
        <v>22000000</v>
      </c>
      <c r="C3" s="2">
        <v>1.948</v>
      </c>
      <c r="D3" s="2">
        <v>0.82</v>
      </c>
      <c r="E3" s="2">
        <v>1600</v>
      </c>
      <c r="F3" s="2">
        <f>IFERROR(B3*C3*IF(D3="", Parameters!$B$2, D3)/Parameters!$B$6, 0)</f>
        <v>1129838.121111772</v>
      </c>
      <c r="G3" s="13">
        <f>F3*IF(E3="", Parameters!$B$2, E3)</f>
        <v>1807740993.7788353</v>
      </c>
      <c r="H3" s="2">
        <f>G3*Parameters!$B$4</f>
        <v>47001265.838249713</v>
      </c>
      <c r="I3" s="2">
        <f>1/POWER(1+Parameters!$B$5, A3)</f>
        <v>0.82644628099173545</v>
      </c>
      <c r="J3" s="6">
        <f t="shared" si="0"/>
        <v>38844021.353925377</v>
      </c>
      <c r="K3" s="6">
        <f>SUM($G$2:G3)</f>
        <v>3615481987.5576706</v>
      </c>
      <c r="L3">
        <f t="shared" ref="L3:L33" si="1">F3*0.95</f>
        <v>1073346.2150561833</v>
      </c>
      <c r="M3" s="14">
        <f>L3*IF(E3="",Parameters!$B$2,E3)</f>
        <v>1717353944.0898933</v>
      </c>
      <c r="N3" s="17">
        <f t="shared" ref="N3:N27" si="2">M3*0.0251</f>
        <v>43105583.996656321</v>
      </c>
      <c r="O3" s="17">
        <f t="shared" ref="O3:O27" si="3">N3*I3</f>
        <v>35624449.584013484</v>
      </c>
    </row>
    <row r="4" spans="1:15">
      <c r="A4" s="2">
        <v>3</v>
      </c>
      <c r="B4" s="2">
        <v>22000000</v>
      </c>
      <c r="C4" s="2">
        <v>1.948</v>
      </c>
      <c r="D4" s="2">
        <v>0.82</v>
      </c>
      <c r="E4" s="2">
        <v>1600</v>
      </c>
      <c r="F4" s="2">
        <f>IFERROR(B4*C4*IF(D4="", Parameters!$B$2, D4)/Parameters!$B$6, 0)</f>
        <v>1129838.121111772</v>
      </c>
      <c r="G4" s="13">
        <f>F4*IF(E4="", Parameters!$B$2, E4)</f>
        <v>1807740993.7788353</v>
      </c>
      <c r="H4" s="2">
        <f>G4*Parameters!$B$4</f>
        <v>47001265.838249713</v>
      </c>
      <c r="I4" s="2">
        <f>1/POWER(1+Parameters!$B$5, A4)</f>
        <v>0.75131480090157754</v>
      </c>
      <c r="J4" s="6">
        <f t="shared" si="0"/>
        <v>35312746.685386702</v>
      </c>
      <c r="K4" s="6">
        <f>SUM($G$2:G4)</f>
        <v>5423222981.3365059</v>
      </c>
      <c r="L4">
        <f t="shared" si="1"/>
        <v>1073346.2150561833</v>
      </c>
      <c r="M4" s="14">
        <f>L4*IF(E4="",Parameters!$B$2,E4)</f>
        <v>1717353944.0898933</v>
      </c>
      <c r="N4" s="17">
        <f t="shared" si="2"/>
        <v>43105583.996656321</v>
      </c>
      <c r="O4" s="17">
        <f t="shared" si="3"/>
        <v>32385863.25819407</v>
      </c>
    </row>
    <row r="5" spans="1:15">
      <c r="A5" s="2">
        <v>4</v>
      </c>
      <c r="B5" s="2">
        <v>22000000</v>
      </c>
      <c r="C5" s="2">
        <v>1.948</v>
      </c>
      <c r="D5" s="2">
        <v>0.82</v>
      </c>
      <c r="E5" s="2">
        <v>1600</v>
      </c>
      <c r="F5" s="2">
        <f>IFERROR(B5*C5*IF(D5="", Parameters!$B$2, D5)/Parameters!$B$6, 0)</f>
        <v>1129838.121111772</v>
      </c>
      <c r="G5" s="13">
        <f>F5*IF(E5="", Parameters!$B$2, E5)</f>
        <v>1807740993.7788353</v>
      </c>
      <c r="H5" s="2">
        <f>G5*Parameters!$B$4</f>
        <v>47001265.838249713</v>
      </c>
      <c r="I5" s="2">
        <f>1/POWER(1+Parameters!$B$5, A5)</f>
        <v>0.68301345536507052</v>
      </c>
      <c r="J5" s="6">
        <f t="shared" si="0"/>
        <v>32102496.986715183</v>
      </c>
      <c r="K5" s="6">
        <f>SUM($G$2:G5)</f>
        <v>7230963975.1153412</v>
      </c>
      <c r="L5">
        <f t="shared" si="1"/>
        <v>1073346.2150561833</v>
      </c>
      <c r="M5" s="14">
        <f>L5*IF(E5="",Parameters!$B$2,E5)</f>
        <v>1717353944.0898933</v>
      </c>
      <c r="N5" s="17">
        <f t="shared" si="2"/>
        <v>43105583.996656321</v>
      </c>
      <c r="O5" s="17">
        <f t="shared" si="3"/>
        <v>29441693.871085521</v>
      </c>
    </row>
    <row r="6" spans="1:15">
      <c r="A6" s="2">
        <v>5</v>
      </c>
      <c r="B6" s="2">
        <v>22000000</v>
      </c>
      <c r="C6" s="2">
        <v>1.948</v>
      </c>
      <c r="D6" s="2">
        <v>0.82</v>
      </c>
      <c r="E6" s="2">
        <v>1600</v>
      </c>
      <c r="F6" s="2">
        <f>IFERROR(B6*C6*IF(D6="", Parameters!$B$2, D6)/Parameters!$B$6, 0)</f>
        <v>1129838.121111772</v>
      </c>
      <c r="G6" s="13">
        <f>F6*IF(E6="", Parameters!$B$2, E6)</f>
        <v>1807740993.7788353</v>
      </c>
      <c r="H6" s="2">
        <f>G6*Parameters!$B$4</f>
        <v>47001265.838249713</v>
      </c>
      <c r="I6" s="2">
        <f>1/POWER(1+Parameters!$B$5, A6)</f>
        <v>0.62092132305915493</v>
      </c>
      <c r="J6" s="6">
        <f t="shared" si="0"/>
        <v>29184088.169741072</v>
      </c>
      <c r="K6" s="6">
        <f>SUM($G$2:G6)</f>
        <v>9038704968.8941765</v>
      </c>
      <c r="L6">
        <f t="shared" si="1"/>
        <v>1073346.2150561833</v>
      </c>
      <c r="M6" s="14">
        <f>L6*IF(E6="",Parameters!$B$2,E6)</f>
        <v>1717353944.0898933</v>
      </c>
      <c r="N6" s="17">
        <f t="shared" si="2"/>
        <v>43105583.996656321</v>
      </c>
      <c r="O6" s="17">
        <f t="shared" si="3"/>
        <v>26765176.246441379</v>
      </c>
    </row>
    <row r="7" spans="1:15">
      <c r="A7" s="2">
        <v>6</v>
      </c>
      <c r="B7" s="2">
        <v>22000000</v>
      </c>
      <c r="C7" s="2">
        <v>1.948</v>
      </c>
      <c r="D7" s="2">
        <v>0.82</v>
      </c>
      <c r="E7" s="2">
        <v>1600</v>
      </c>
      <c r="F7" s="2">
        <f>IFERROR(B7*C7*IF(D7="", Parameters!$B$2, D7)/Parameters!$B$6, 0)</f>
        <v>1129838.121111772</v>
      </c>
      <c r="G7" s="13">
        <f>F7*IF(E7="", Parameters!$B$2, E7)</f>
        <v>1807740993.7788353</v>
      </c>
      <c r="H7" s="2">
        <f>G7*Parameters!$B$4</f>
        <v>47001265.838249713</v>
      </c>
      <c r="I7" s="2">
        <f>1/POWER(1+Parameters!$B$5, A7)</f>
        <v>0.56447393005377722</v>
      </c>
      <c r="J7" s="6">
        <f t="shared" si="0"/>
        <v>26530989.245219156</v>
      </c>
      <c r="K7" s="6">
        <f>SUM($G$2:G7)</f>
        <v>10846445962.673012</v>
      </c>
      <c r="L7">
        <f t="shared" si="1"/>
        <v>1073346.2150561833</v>
      </c>
      <c r="M7" s="14">
        <f>L7*IF(E7="",Parameters!$B$2,E7)</f>
        <v>1717353944.0898933</v>
      </c>
      <c r="N7" s="17">
        <f t="shared" si="2"/>
        <v>43105583.996656321</v>
      </c>
      <c r="O7" s="17">
        <f t="shared" si="3"/>
        <v>24331978.405855797</v>
      </c>
    </row>
    <row r="8" spans="1:15">
      <c r="A8" s="2">
        <v>7</v>
      </c>
      <c r="B8" s="2">
        <v>22000000</v>
      </c>
      <c r="C8" s="2">
        <v>1.948</v>
      </c>
      <c r="D8" s="2">
        <v>0.82</v>
      </c>
      <c r="E8" s="2">
        <v>1600</v>
      </c>
      <c r="F8" s="2">
        <f>IFERROR(B8*C8*IF(D8="", Parameters!$B$2, D8)/Parameters!$B$6, 0)</f>
        <v>1129838.121111772</v>
      </c>
      <c r="G8" s="13">
        <f>F8*IF(E8="", Parameters!$B$2, E8)</f>
        <v>1807740993.7788353</v>
      </c>
      <c r="H8" s="2">
        <f>G8*Parameters!$B$4</f>
        <v>47001265.838249713</v>
      </c>
      <c r="I8" s="2">
        <f>1/POWER(1+Parameters!$B$5, A8)</f>
        <v>0.51315811823070645</v>
      </c>
      <c r="J8" s="6">
        <f t="shared" si="0"/>
        <v>24119081.132017411</v>
      </c>
      <c r="K8" s="6">
        <f>SUM($G$2:G8)</f>
        <v>12654186956.451847</v>
      </c>
      <c r="L8">
        <f t="shared" si="1"/>
        <v>1073346.2150561833</v>
      </c>
      <c r="M8" s="14">
        <f>L8*IF(E8="",Parameters!$B$2,E8)</f>
        <v>1717353944.0898933</v>
      </c>
      <c r="N8" s="17">
        <f t="shared" si="2"/>
        <v>43105583.996656321</v>
      </c>
      <c r="O8" s="17">
        <f t="shared" si="3"/>
        <v>22119980.368959811</v>
      </c>
    </row>
    <row r="9" spans="1:15">
      <c r="A9" s="2">
        <v>8</v>
      </c>
      <c r="B9" s="2">
        <v>22000000</v>
      </c>
      <c r="C9" s="2">
        <v>1.948</v>
      </c>
      <c r="D9" s="2">
        <v>0.82</v>
      </c>
      <c r="E9" s="2">
        <v>1600</v>
      </c>
      <c r="F9" s="2">
        <f>IFERROR(B9*C9*IF(D9="", Parameters!$B$2, D9)/Parameters!$B$6, 0)</f>
        <v>1129838.121111772</v>
      </c>
      <c r="G9" s="13">
        <f>F9*IF(E9="", Parameters!$B$2, E9)</f>
        <v>1807740993.7788353</v>
      </c>
      <c r="H9" s="2">
        <f>G9*Parameters!$B$4</f>
        <v>47001265.838249713</v>
      </c>
      <c r="I9" s="2">
        <f>1/POWER(1+Parameters!$B$5, A9)</f>
        <v>0.46650738020973315</v>
      </c>
      <c r="J9" s="6">
        <f t="shared" si="0"/>
        <v>21926437.392743099</v>
      </c>
      <c r="K9" s="6">
        <f>SUM($G$2:G9)</f>
        <v>14461927950.230682</v>
      </c>
      <c r="L9">
        <f t="shared" si="1"/>
        <v>1073346.2150561833</v>
      </c>
      <c r="M9" s="14">
        <f>L9*IF(E9="",Parameters!$B$2,E9)</f>
        <v>1717353944.0898933</v>
      </c>
      <c r="N9" s="17">
        <f t="shared" si="2"/>
        <v>43105583.996656321</v>
      </c>
      <c r="O9" s="17">
        <f t="shared" si="3"/>
        <v>20109073.062690739</v>
      </c>
    </row>
    <row r="10" spans="1:15">
      <c r="A10" s="2">
        <v>9</v>
      </c>
      <c r="B10" s="2">
        <v>22000000</v>
      </c>
      <c r="C10" s="2">
        <v>1.948</v>
      </c>
      <c r="D10" s="2">
        <v>0.82</v>
      </c>
      <c r="E10" s="2">
        <v>1600</v>
      </c>
      <c r="F10" s="2">
        <f>IFERROR(B10*C10*IF(D10="", Parameters!$B$2, D10)/Parameters!$B$6, 0)</f>
        <v>1129838.121111772</v>
      </c>
      <c r="G10" s="13">
        <f>F10*IF(E10="", Parameters!$B$2, E10)</f>
        <v>1807740993.7788353</v>
      </c>
      <c r="H10" s="2">
        <f>G10*Parameters!$B$4</f>
        <v>47001265.838249713</v>
      </c>
      <c r="I10" s="2">
        <f>1/POWER(1+Parameters!$B$5, A10)</f>
        <v>0.42409761837248466</v>
      </c>
      <c r="J10" s="6">
        <f t="shared" si="0"/>
        <v>19933124.902493726</v>
      </c>
      <c r="K10" s="6">
        <f>SUM($G$2:G10)</f>
        <v>16269668944.009518</v>
      </c>
      <c r="L10">
        <f t="shared" si="1"/>
        <v>1073346.2150561833</v>
      </c>
      <c r="M10" s="14">
        <f>L10*IF(E10="",Parameters!$B$2,E10)</f>
        <v>1717353944.0898933</v>
      </c>
      <c r="N10" s="17">
        <f t="shared" si="2"/>
        <v>43105583.996656321</v>
      </c>
      <c r="O10" s="17">
        <f t="shared" si="3"/>
        <v>18280975.511537034</v>
      </c>
    </row>
    <row r="11" spans="1:15">
      <c r="A11" s="2">
        <v>10</v>
      </c>
      <c r="B11" s="2">
        <v>22000000</v>
      </c>
      <c r="C11" s="2">
        <v>1.948</v>
      </c>
      <c r="D11" s="2">
        <v>0.82</v>
      </c>
      <c r="E11" s="2">
        <v>1600</v>
      </c>
      <c r="F11" s="2">
        <f>IFERROR(B11*C11*IF(D11="", Parameters!$B$2, D11)/Parameters!$B$6, 0)</f>
        <v>1129838.121111772</v>
      </c>
      <c r="G11" s="13">
        <f>F11*IF(E11="", Parameters!$B$2, E11)</f>
        <v>1807740993.7788353</v>
      </c>
      <c r="H11" s="2">
        <f>G11*Parameters!$B$4</f>
        <v>47001265.838249713</v>
      </c>
      <c r="I11" s="2">
        <f>1/POWER(1+Parameters!$B$5, A11)</f>
        <v>0.38554328942953148</v>
      </c>
      <c r="J11" s="6">
        <f t="shared" si="0"/>
        <v>18121022.638630658</v>
      </c>
      <c r="K11" s="6">
        <f>SUM($G$2:G11)</f>
        <v>18077409937.788353</v>
      </c>
      <c r="L11">
        <f t="shared" si="1"/>
        <v>1073346.2150561833</v>
      </c>
      <c r="M11" s="14">
        <f>L11*IF(E11="",Parameters!$B$2,E11)</f>
        <v>1717353944.0898933</v>
      </c>
      <c r="N11" s="17">
        <f t="shared" si="2"/>
        <v>43105583.996656321</v>
      </c>
      <c r="O11" s="17">
        <f t="shared" si="3"/>
        <v>16619068.646851849</v>
      </c>
    </row>
    <row r="12" spans="1:15">
      <c r="A12" s="2">
        <v>11</v>
      </c>
      <c r="B12" s="2">
        <v>22000000</v>
      </c>
      <c r="C12" s="2">
        <v>1.948</v>
      </c>
      <c r="D12" s="2">
        <v>0.82</v>
      </c>
      <c r="E12" s="2">
        <v>1600</v>
      </c>
      <c r="F12" s="2">
        <f>IFERROR(B12*C12*IF(D12="", Parameters!$B$2, D12)/Parameters!$B$6, 0)</f>
        <v>1129838.121111772</v>
      </c>
      <c r="G12" s="13">
        <f>F12*IF(E12="", Parameters!$B$2, E12)</f>
        <v>1807740993.7788353</v>
      </c>
      <c r="H12" s="2">
        <f>G12*Parameters!$B$4</f>
        <v>47001265.838249713</v>
      </c>
      <c r="I12" s="2">
        <f>1/POWER(1+Parameters!$B$5, A12)</f>
        <v>0.3504938994813922</v>
      </c>
      <c r="J12" s="6">
        <f t="shared" si="0"/>
        <v>16473656.944209687</v>
      </c>
      <c r="K12" s="6">
        <f>SUM($G$2:G12)</f>
        <v>19885150931.567188</v>
      </c>
      <c r="L12">
        <f t="shared" si="1"/>
        <v>1073346.2150561833</v>
      </c>
      <c r="M12" s="14">
        <f>L12*IF(E12="",Parameters!$B$2,E12)</f>
        <v>1717353944.0898933</v>
      </c>
      <c r="N12" s="17">
        <f t="shared" si="2"/>
        <v>43105583.996656321</v>
      </c>
      <c r="O12" s="17">
        <f t="shared" si="3"/>
        <v>15108244.224410769</v>
      </c>
    </row>
    <row r="13" spans="1:15">
      <c r="A13" s="2">
        <v>12</v>
      </c>
      <c r="B13" s="2">
        <v>22000000</v>
      </c>
      <c r="C13" s="2">
        <v>1.948</v>
      </c>
      <c r="D13" s="2">
        <v>0.82</v>
      </c>
      <c r="E13" s="2">
        <v>1600</v>
      </c>
      <c r="F13" s="2">
        <f>IFERROR(B13*C13*IF(D13="", Parameters!$B$2, D13)/Parameters!$B$6, 0)</f>
        <v>1129838.121111772</v>
      </c>
      <c r="G13" s="13">
        <f>F13*IF(E13="", Parameters!$B$2, E13)</f>
        <v>1807740993.7788353</v>
      </c>
      <c r="H13" s="2">
        <f>G13*Parameters!$B$4</f>
        <v>47001265.838249713</v>
      </c>
      <c r="I13" s="2">
        <f>1/POWER(1+Parameters!$B$5, A13)</f>
        <v>0.31863081771035656</v>
      </c>
      <c r="J13" s="6">
        <f t="shared" si="0"/>
        <v>14976051.767463354</v>
      </c>
      <c r="K13" s="6">
        <f>SUM($G$2:G13)</f>
        <v>21692891925.346024</v>
      </c>
      <c r="L13">
        <f t="shared" si="1"/>
        <v>1073346.2150561833</v>
      </c>
      <c r="M13" s="14">
        <f>L13*IF(E13="",Parameters!$B$2,E13)</f>
        <v>1717353944.0898933</v>
      </c>
      <c r="N13" s="17">
        <f t="shared" si="2"/>
        <v>43105583.996656321</v>
      </c>
      <c r="O13" s="17">
        <f t="shared" si="3"/>
        <v>13734767.476737063</v>
      </c>
    </row>
    <row r="14" spans="1:15">
      <c r="A14" s="2">
        <v>13</v>
      </c>
      <c r="B14" s="2">
        <v>22000000</v>
      </c>
      <c r="C14" s="2">
        <v>1.948</v>
      </c>
      <c r="D14" s="2">
        <v>0.82</v>
      </c>
      <c r="E14" s="2">
        <v>1600</v>
      </c>
      <c r="F14" s="2">
        <f>IFERROR(B14*C14*IF(D14="", Parameters!$B$2, D14)/Parameters!$B$6, 0)</f>
        <v>1129838.121111772</v>
      </c>
      <c r="G14" s="13">
        <f>F14*IF(E14="", Parameters!$B$2, E14)</f>
        <v>1807740993.7788353</v>
      </c>
      <c r="H14" s="2">
        <f>G14*Parameters!$B$4</f>
        <v>47001265.838249713</v>
      </c>
      <c r="I14" s="2">
        <f>1/POWER(1+Parameters!$B$5, A14)</f>
        <v>0.28966437973668779</v>
      </c>
      <c r="J14" s="6">
        <f t="shared" si="0"/>
        <v>13614592.515875777</v>
      </c>
      <c r="K14" s="6">
        <f>SUM($G$2:G14)</f>
        <v>23500632919.124859</v>
      </c>
      <c r="L14">
        <f t="shared" si="1"/>
        <v>1073346.2150561833</v>
      </c>
      <c r="M14" s="14">
        <f>L14*IF(E14="",Parameters!$B$2,E14)</f>
        <v>1717353944.0898933</v>
      </c>
      <c r="N14" s="17">
        <f t="shared" si="2"/>
        <v>43105583.996656321</v>
      </c>
      <c r="O14" s="17">
        <f t="shared" si="3"/>
        <v>12486152.251579149</v>
      </c>
    </row>
    <row r="15" spans="1:15">
      <c r="A15" s="2">
        <v>14</v>
      </c>
      <c r="B15" s="2">
        <v>22000000</v>
      </c>
      <c r="C15" s="2">
        <v>1.948</v>
      </c>
      <c r="D15" s="2">
        <v>0.82</v>
      </c>
      <c r="E15" s="2">
        <v>1600</v>
      </c>
      <c r="F15" s="2">
        <f>IFERROR(B15*C15*IF(D15="", Parameters!$B$2, D15)/Parameters!$B$6, 0)</f>
        <v>1129838.121111772</v>
      </c>
      <c r="G15" s="13">
        <f>F15*IF(E15="", Parameters!$B$2, E15)</f>
        <v>1807740993.7788353</v>
      </c>
      <c r="H15" s="2">
        <f>G15*Parameters!$B$4</f>
        <v>47001265.838249713</v>
      </c>
      <c r="I15" s="2">
        <f>1/POWER(1+Parameters!$B$5, A15)</f>
        <v>0.26333125430607973</v>
      </c>
      <c r="J15" s="6">
        <f t="shared" si="0"/>
        <v>12376902.287159793</v>
      </c>
      <c r="K15" s="6">
        <f>SUM($G$2:G15)</f>
        <v>25308373912.903694</v>
      </c>
      <c r="L15">
        <f t="shared" si="1"/>
        <v>1073346.2150561833</v>
      </c>
      <c r="M15" s="14">
        <f>L15*IF(E15="",Parameters!$B$2,E15)</f>
        <v>1717353944.0898933</v>
      </c>
      <c r="N15" s="17">
        <f t="shared" si="2"/>
        <v>43105583.996656321</v>
      </c>
      <c r="O15" s="17">
        <f t="shared" si="3"/>
        <v>11351047.501435587</v>
      </c>
    </row>
    <row r="16" spans="1:15">
      <c r="A16" s="2">
        <v>15</v>
      </c>
      <c r="B16" s="2">
        <v>22000000</v>
      </c>
      <c r="C16" s="2">
        <v>1.948</v>
      </c>
      <c r="D16" s="2">
        <v>0.82</v>
      </c>
      <c r="E16" s="2">
        <v>1600</v>
      </c>
      <c r="F16" s="2">
        <f>IFERROR(B16*C16*IF(D16="", Parameters!$B$2, D16)/Parameters!$B$6, 0)</f>
        <v>1129838.121111772</v>
      </c>
      <c r="G16" s="13">
        <f>F16*IF(E16="", Parameters!$B$2, E16)</f>
        <v>1807740993.7788353</v>
      </c>
      <c r="H16" s="2">
        <f>G16*Parameters!$B$4</f>
        <v>47001265.838249713</v>
      </c>
      <c r="I16" s="2">
        <f>1/POWER(1+Parameters!$B$5, A16)</f>
        <v>0.23939204936916339</v>
      </c>
      <c r="J16" s="6">
        <f t="shared" si="0"/>
        <v>11251729.351963447</v>
      </c>
      <c r="K16" s="6">
        <f>SUM($G$2:G16)</f>
        <v>27116114906.682529</v>
      </c>
      <c r="L16">
        <f t="shared" si="1"/>
        <v>1073346.2150561833</v>
      </c>
      <c r="M16" s="14">
        <f>L16*IF(E16="",Parameters!$B$2,E16)</f>
        <v>1717353944.0898933</v>
      </c>
      <c r="N16" s="17">
        <f t="shared" si="2"/>
        <v>43105583.996656321</v>
      </c>
      <c r="O16" s="17">
        <f t="shared" si="3"/>
        <v>10319134.092214169</v>
      </c>
    </row>
    <row r="17" spans="1:15">
      <c r="A17" s="2">
        <v>16</v>
      </c>
      <c r="B17" s="2">
        <v>22000000</v>
      </c>
      <c r="C17" s="2">
        <v>1.948</v>
      </c>
      <c r="D17" s="2">
        <v>0.82</v>
      </c>
      <c r="E17" s="2">
        <v>1600</v>
      </c>
      <c r="F17" s="2">
        <f>IFERROR(B17*C17*IF(D17="", Parameters!$B$2, D17)/Parameters!$B$6, 0)</f>
        <v>1129838.121111772</v>
      </c>
      <c r="G17" s="13">
        <f>F17*IF(E17="", Parameters!$B$2, E17)</f>
        <v>1807740993.7788353</v>
      </c>
      <c r="H17" s="2">
        <f>G17*Parameters!$B$4</f>
        <v>47001265.838249713</v>
      </c>
      <c r="I17" s="2">
        <f>1/POWER(1+Parameters!$B$5, A17)</f>
        <v>0.21762913579014853</v>
      </c>
      <c r="J17" s="6">
        <f t="shared" si="0"/>
        <v>10228844.865421316</v>
      </c>
      <c r="K17" s="6">
        <f>SUM($G$2:G17)</f>
        <v>28923855900.461365</v>
      </c>
      <c r="L17">
        <f t="shared" si="1"/>
        <v>1073346.2150561833</v>
      </c>
      <c r="M17" s="14">
        <f>L17*IF(E17="",Parameters!$B$2,E17)</f>
        <v>1717353944.0898933</v>
      </c>
      <c r="N17" s="17">
        <f t="shared" si="2"/>
        <v>43105583.996656321</v>
      </c>
      <c r="O17" s="17">
        <f t="shared" si="3"/>
        <v>9381030.9929219726</v>
      </c>
    </row>
    <row r="18" spans="1:15">
      <c r="A18" s="2">
        <v>17</v>
      </c>
      <c r="B18" s="2">
        <v>22000000</v>
      </c>
      <c r="C18" s="2">
        <v>1.948</v>
      </c>
      <c r="D18" s="2">
        <v>0.82</v>
      </c>
      <c r="E18" s="2">
        <v>1600</v>
      </c>
      <c r="F18" s="2">
        <f>IFERROR(B18*C18*IF(D18="", Parameters!$B$2, D18)/Parameters!$B$6, 0)</f>
        <v>1129838.121111772</v>
      </c>
      <c r="G18" s="13">
        <f>F18*IF(E18="", Parameters!$B$2, E18)</f>
        <v>1807740993.7788353</v>
      </c>
      <c r="H18" s="2">
        <f>G18*Parameters!$B$4</f>
        <v>47001265.838249713</v>
      </c>
      <c r="I18" s="2">
        <f>1/POWER(1+Parameters!$B$5, A18)</f>
        <v>0.19784466890013502</v>
      </c>
      <c r="J18" s="6">
        <f t="shared" si="0"/>
        <v>9298949.8776557408</v>
      </c>
      <c r="K18" s="6">
        <f>SUM($G$2:G18)</f>
        <v>30731596894.2402</v>
      </c>
      <c r="L18">
        <f t="shared" si="1"/>
        <v>1073346.2150561833</v>
      </c>
      <c r="M18" s="14">
        <f>L18*IF(E18="",Parameters!$B$2,E18)</f>
        <v>1717353944.0898933</v>
      </c>
      <c r="N18" s="17">
        <f t="shared" si="2"/>
        <v>43105583.996656321</v>
      </c>
      <c r="O18" s="17">
        <f t="shared" si="3"/>
        <v>8528209.993565429</v>
      </c>
    </row>
    <row r="19" spans="1:15">
      <c r="A19" s="2">
        <v>18</v>
      </c>
      <c r="B19" s="2">
        <v>22000000</v>
      </c>
      <c r="C19" s="2">
        <v>1.948</v>
      </c>
      <c r="D19" s="2">
        <v>0.82</v>
      </c>
      <c r="E19" s="2">
        <v>1600</v>
      </c>
      <c r="F19" s="2">
        <f>IFERROR(B19*C19*IF(D19="", Parameters!$B$2, D19)/Parameters!$B$6, 0)</f>
        <v>1129838.121111772</v>
      </c>
      <c r="G19" s="13">
        <f>F19*IF(E19="", Parameters!$B$2, E19)</f>
        <v>1807740993.7788353</v>
      </c>
      <c r="H19" s="2">
        <f>G19*Parameters!$B$4</f>
        <v>47001265.838249713</v>
      </c>
      <c r="I19" s="2">
        <f>1/POWER(1+Parameters!$B$5, A19)</f>
        <v>0.17985878990921364</v>
      </c>
      <c r="J19" s="6">
        <f t="shared" si="0"/>
        <v>8453590.7978688553</v>
      </c>
      <c r="K19" s="6">
        <f>SUM($G$2:G19)</f>
        <v>32539337888.019035</v>
      </c>
      <c r="L19">
        <f t="shared" si="1"/>
        <v>1073346.2150561833</v>
      </c>
      <c r="M19" s="14">
        <f>L19*IF(E19="",Parameters!$B$2,E19)</f>
        <v>1717353944.0898933</v>
      </c>
      <c r="N19" s="17">
        <f t="shared" si="2"/>
        <v>43105583.996656321</v>
      </c>
      <c r="O19" s="17">
        <f t="shared" si="3"/>
        <v>7752918.1759685706</v>
      </c>
    </row>
    <row r="20" spans="1:15">
      <c r="A20" s="2">
        <v>19</v>
      </c>
      <c r="B20" s="2">
        <v>22000000</v>
      </c>
      <c r="C20" s="2">
        <v>1.948</v>
      </c>
      <c r="D20" s="2">
        <v>0.82</v>
      </c>
      <c r="E20" s="2">
        <v>1600</v>
      </c>
      <c r="F20" s="2">
        <f>IFERROR(B20*C20*IF(D20="", Parameters!$B$2, D20)/Parameters!$B$6, 0)</f>
        <v>1129838.121111772</v>
      </c>
      <c r="G20" s="13">
        <f>F20*IF(E20="", Parameters!$B$2, E20)</f>
        <v>1807740993.7788353</v>
      </c>
      <c r="H20" s="2">
        <f>G20*Parameters!$B$4</f>
        <v>47001265.838249713</v>
      </c>
      <c r="I20" s="2">
        <f>1/POWER(1+Parameters!$B$5, A20)</f>
        <v>0.16350799082655781</v>
      </c>
      <c r="J20" s="6">
        <f t="shared" si="0"/>
        <v>7685082.5435171388</v>
      </c>
      <c r="K20" s="6">
        <f>SUM($G$2:G20)</f>
        <v>34347078881.797871</v>
      </c>
      <c r="L20">
        <f t="shared" si="1"/>
        <v>1073346.2150561833</v>
      </c>
      <c r="M20" s="14">
        <f>L20*IF(E20="",Parameters!$B$2,E20)</f>
        <v>1717353944.0898933</v>
      </c>
      <c r="N20" s="17">
        <f t="shared" si="2"/>
        <v>43105583.996656321</v>
      </c>
      <c r="O20" s="17">
        <f t="shared" si="3"/>
        <v>7048107.4326986987</v>
      </c>
    </row>
    <row r="21" spans="1:15">
      <c r="A21" s="2">
        <v>20</v>
      </c>
      <c r="B21" s="2">
        <v>22000000</v>
      </c>
      <c r="C21" s="2">
        <v>1.948</v>
      </c>
      <c r="D21" s="2">
        <v>0.82</v>
      </c>
      <c r="E21" s="2">
        <v>1600</v>
      </c>
      <c r="F21" s="2">
        <f>IFERROR(B21*C21*IF(D21="", Parameters!$B$2, D21)/Parameters!$B$6, 0)</f>
        <v>1129838.121111772</v>
      </c>
      <c r="G21" s="13">
        <f>F21*IF(E21="", Parameters!$B$2, E21)</f>
        <v>1807740993.7788353</v>
      </c>
      <c r="H21" s="2">
        <f>G21*Parameters!$B$4</f>
        <v>47001265.838249713</v>
      </c>
      <c r="I21" s="2">
        <f>1/POWER(1+Parameters!$B$5, A21)</f>
        <v>0.14864362802414349</v>
      </c>
      <c r="J21" s="6">
        <f t="shared" si="0"/>
        <v>6986438.6759246737</v>
      </c>
      <c r="K21" s="6">
        <f>SUM($G$2:G21)</f>
        <v>36154819875.576706</v>
      </c>
      <c r="L21">
        <f t="shared" si="1"/>
        <v>1073346.2150561833</v>
      </c>
      <c r="M21" s="14">
        <f>L21*IF(E21="",Parameters!$B$2,E21)</f>
        <v>1717353944.0898933</v>
      </c>
      <c r="N21" s="17">
        <f t="shared" si="2"/>
        <v>43105583.996656321</v>
      </c>
      <c r="O21" s="17">
        <f t="shared" si="3"/>
        <v>6407370.3933624551</v>
      </c>
    </row>
    <row r="22" spans="1:15">
      <c r="A22" s="2">
        <v>21</v>
      </c>
      <c r="B22" s="2">
        <v>22000000</v>
      </c>
      <c r="C22" s="2">
        <v>1.948</v>
      </c>
      <c r="D22" s="2">
        <v>0.82</v>
      </c>
      <c r="E22" s="2">
        <v>1600</v>
      </c>
      <c r="F22" s="2">
        <f>IFERROR(B22*C22*IF(D22="", Parameters!$B$2, D22)/Parameters!$B$6, 0)</f>
        <v>1129838.121111772</v>
      </c>
      <c r="G22" s="13">
        <f>F22*IF(E22="", Parameters!$B$2, E22)</f>
        <v>1807740993.7788353</v>
      </c>
      <c r="H22" s="2">
        <f>G22*Parameters!$B$4</f>
        <v>47001265.838249713</v>
      </c>
      <c r="I22" s="2">
        <f>1/POWER(1+Parameters!$B$5, A22)</f>
        <v>0.13513057093103953</v>
      </c>
      <c r="J22" s="6">
        <f t="shared" si="0"/>
        <v>6351307.8872042475</v>
      </c>
      <c r="K22" s="6">
        <f>SUM($G$2:G22)</f>
        <v>37962560869.355545</v>
      </c>
      <c r="L22">
        <f t="shared" si="1"/>
        <v>1073346.2150561833</v>
      </c>
      <c r="M22" s="14">
        <f>L22*IF(E22="",Parameters!$B$2,E22)</f>
        <v>1717353944.0898933</v>
      </c>
      <c r="N22" s="17">
        <f t="shared" si="2"/>
        <v>43105583.996656321</v>
      </c>
      <c r="O22" s="17">
        <f t="shared" si="3"/>
        <v>5824882.1757840496</v>
      </c>
    </row>
    <row r="23" spans="1:15">
      <c r="A23" s="2"/>
      <c r="B23" s="2"/>
      <c r="C23" s="2"/>
      <c r="D23" s="2"/>
      <c r="E23" s="2"/>
      <c r="F23" s="2"/>
      <c r="G23" s="13"/>
      <c r="H23" s="2"/>
      <c r="I23" s="2"/>
      <c r="J23" s="6"/>
      <c r="K23" s="6"/>
      <c r="M23" s="14"/>
      <c r="N23" s="17"/>
      <c r="O23" s="17"/>
    </row>
    <row r="24" spans="1:15">
      <c r="A24" s="2"/>
      <c r="B24" s="2"/>
      <c r="C24" s="2"/>
      <c r="D24" s="2"/>
      <c r="E24" s="2"/>
      <c r="F24" s="2"/>
      <c r="G24" s="13"/>
      <c r="H24" s="2"/>
      <c r="I24" s="2"/>
      <c r="J24" s="6"/>
      <c r="K24" s="6"/>
      <c r="M24" s="14"/>
      <c r="N24" s="17"/>
      <c r="O24" s="17"/>
    </row>
    <row r="25" spans="1:15">
      <c r="A25" s="2"/>
      <c r="B25" s="2"/>
      <c r="C25" s="2"/>
      <c r="D25" s="2"/>
      <c r="E25" s="2"/>
      <c r="F25" s="2"/>
      <c r="G25" s="13"/>
      <c r="H25" s="2"/>
      <c r="I25" s="2"/>
      <c r="J25" s="6"/>
      <c r="K25" s="6"/>
      <c r="M25" s="14"/>
      <c r="N25" s="17"/>
      <c r="O25" s="17"/>
    </row>
    <row r="26" spans="1:15">
      <c r="A26" s="2"/>
      <c r="B26" s="2"/>
      <c r="C26" s="2"/>
      <c r="D26" s="2"/>
      <c r="E26" s="2"/>
      <c r="F26" s="2"/>
      <c r="G26" s="13"/>
      <c r="H26" s="2"/>
      <c r="I26" s="2"/>
      <c r="J26" s="6"/>
      <c r="K26" s="6"/>
      <c r="M26" s="14"/>
      <c r="N26" s="17"/>
      <c r="O26" s="17"/>
    </row>
    <row r="27" spans="1:15">
      <c r="A27" s="2"/>
      <c r="B27" s="2"/>
      <c r="C27" s="2"/>
      <c r="D27" s="2"/>
      <c r="E27" s="2"/>
      <c r="F27" s="2"/>
      <c r="G27" s="13"/>
      <c r="H27" s="2"/>
      <c r="I27" s="2"/>
      <c r="J27" s="6"/>
      <c r="K27" s="6"/>
      <c r="M27" s="14"/>
      <c r="N27" s="17"/>
      <c r="O27" s="17"/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37962560869.355545</v>
      </c>
      <c r="H39">
        <f>SUM(H2:H33)</f>
        <v>987026582.60324359</v>
      </c>
      <c r="J39" s="11">
        <f>SUM(J2:J22)</f>
        <v>406499579.51045424</v>
      </c>
      <c r="O39" s="11">
        <f>SUM(O2:O22)</f>
        <v>372807018.20872247</v>
      </c>
    </row>
    <row r="40" spans="1:15">
      <c r="F40" s="3" t="s">
        <v>16</v>
      </c>
      <c r="G40" s="10">
        <f>G39</f>
        <v>37962560869.355545</v>
      </c>
    </row>
    <row r="41" spans="1:15">
      <c r="F41" s="3" t="s">
        <v>17</v>
      </c>
      <c r="G41" s="10">
        <f>H39</f>
        <v>987026582.60324359</v>
      </c>
    </row>
    <row r="42" spans="1:15">
      <c r="F42" s="3" t="s">
        <v>9</v>
      </c>
      <c r="G42" s="10">
        <f>J39</f>
        <v>406499579.51045424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B955-4DE5-4A81-93B9-5934D86CB44A}">
  <sheetPr codeName="Sheet16"/>
  <dimension ref="A1:O42"/>
  <sheetViews>
    <sheetView topLeftCell="A9" workbookViewId="0">
      <pane xSplit="1" topLeftCell="D1" activePane="topRight" state="frozen"/>
      <selection pane="topRight" activeCell="K35" sqref="K35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24000000</v>
      </c>
      <c r="C2" s="2">
        <v>1.871</v>
      </c>
      <c r="D2" s="2">
        <v>0.82</v>
      </c>
      <c r="E2" s="2">
        <v>1600</v>
      </c>
      <c r="F2" s="2">
        <f>IFERROR(B2*C2*IF(D2="", Parameters!$B$2, D2)/Parameters!$B$6, 0)</f>
        <v>1183830.7585962994</v>
      </c>
      <c r="G2" s="13">
        <f>F2*IF(E2="", Parameters!$B$2, E2)</f>
        <v>1894129213.7540791</v>
      </c>
      <c r="H2" s="2">
        <f>G2*Parameters!$B$4</f>
        <v>49247359.557606056</v>
      </c>
      <c r="I2" s="2">
        <f>1/POWER(1+Parameters!$B$5, A2)</f>
        <v>0.90909090909090906</v>
      </c>
      <c r="J2" s="6">
        <f t="shared" ref="J2:J33" si="0">H2*I2</f>
        <v>44770326.87055096</v>
      </c>
      <c r="K2" s="6">
        <f>SUM($G$2:G2)</f>
        <v>1894129213.7540791</v>
      </c>
      <c r="L2">
        <f>F2*0.95</f>
        <v>1124639.2206664844</v>
      </c>
      <c r="M2" s="14">
        <f>L2*IF(E2="",Parameters!$B$2,E2)</f>
        <v>1799422753.066375</v>
      </c>
      <c r="N2" s="17">
        <f>M2*0.0251</f>
        <v>45165511.101966016</v>
      </c>
      <c r="O2" s="17">
        <f>N2*I2</f>
        <v>41059555.547241829</v>
      </c>
    </row>
    <row r="3" spans="1:15">
      <c r="A3" s="2">
        <v>2</v>
      </c>
      <c r="B3" s="2">
        <v>24000000</v>
      </c>
      <c r="C3" s="2">
        <v>1.871</v>
      </c>
      <c r="D3" s="2">
        <v>0.82</v>
      </c>
      <c r="E3" s="2">
        <v>1600</v>
      </c>
      <c r="F3" s="2">
        <f>IFERROR(B3*C3*IF(D3="", Parameters!$B$2, D3)/Parameters!$B$6, 0)</f>
        <v>1183830.7585962994</v>
      </c>
      <c r="G3" s="13">
        <f>F3*IF(E3="", Parameters!$B$2, E3)</f>
        <v>1894129213.7540791</v>
      </c>
      <c r="H3" s="2">
        <f>G3*Parameters!$B$4</f>
        <v>49247359.557606056</v>
      </c>
      <c r="I3" s="2">
        <f>1/POWER(1+Parameters!$B$5, A3)</f>
        <v>0.82644628099173545</v>
      </c>
      <c r="J3" s="6">
        <f t="shared" si="0"/>
        <v>40700297.155046321</v>
      </c>
      <c r="K3" s="6">
        <f>SUM($G$2:G3)</f>
        <v>3788258427.5081582</v>
      </c>
      <c r="L3">
        <f t="shared" ref="L3:L33" si="1">F3*0.95</f>
        <v>1124639.2206664844</v>
      </c>
      <c r="M3" s="14">
        <f>L3*IF(E3="",Parameters!$B$2,E3)</f>
        <v>1799422753.066375</v>
      </c>
      <c r="N3" s="17">
        <f t="shared" ref="N3:N24" si="2">M3*0.0251</f>
        <v>45165511.101966016</v>
      </c>
      <c r="O3" s="17">
        <f t="shared" ref="O3:O22" si="3">N3*I3</f>
        <v>37326868.679310754</v>
      </c>
    </row>
    <row r="4" spans="1:15">
      <c r="A4" s="2">
        <v>3</v>
      </c>
      <c r="B4" s="2">
        <v>24000000</v>
      </c>
      <c r="C4" s="2">
        <v>1.871</v>
      </c>
      <c r="D4" s="2">
        <v>0.82</v>
      </c>
      <c r="E4" s="2">
        <v>1600</v>
      </c>
      <c r="F4" s="2">
        <f>IFERROR(B4*C4*IF(D4="", Parameters!$B$2, D4)/Parameters!$B$6, 0)</f>
        <v>1183830.7585962994</v>
      </c>
      <c r="G4" s="13">
        <f>F4*IF(E4="", Parameters!$B$2, E4)</f>
        <v>1894129213.7540791</v>
      </c>
      <c r="H4" s="2">
        <f>G4*Parameters!$B$4</f>
        <v>49247359.557606056</v>
      </c>
      <c r="I4" s="2">
        <f>1/POWER(1+Parameters!$B$5, A4)</f>
        <v>0.75131480090157754</v>
      </c>
      <c r="J4" s="6">
        <f t="shared" si="0"/>
        <v>37000270.140951194</v>
      </c>
      <c r="K4" s="6">
        <f>SUM($G$2:G4)</f>
        <v>5682387641.2622375</v>
      </c>
      <c r="L4">
        <f t="shared" si="1"/>
        <v>1124639.2206664844</v>
      </c>
      <c r="M4" s="14">
        <f>L4*IF(E4="",Parameters!$B$2,E4)</f>
        <v>1799422753.066375</v>
      </c>
      <c r="N4" s="17">
        <f t="shared" si="2"/>
        <v>45165511.101966016</v>
      </c>
      <c r="O4" s="17">
        <f t="shared" si="3"/>
        <v>33933516.98119159</v>
      </c>
    </row>
    <row r="5" spans="1:15">
      <c r="A5" s="2">
        <v>4</v>
      </c>
      <c r="B5" s="2">
        <v>24000000</v>
      </c>
      <c r="C5" s="2">
        <v>1.871</v>
      </c>
      <c r="D5" s="2">
        <v>0.82</v>
      </c>
      <c r="E5" s="2">
        <v>1600</v>
      </c>
      <c r="F5" s="2">
        <f>IFERROR(B5*C5*IF(D5="", Parameters!$B$2, D5)/Parameters!$B$6, 0)</f>
        <v>1183830.7585962994</v>
      </c>
      <c r="G5" s="13">
        <f>F5*IF(E5="", Parameters!$B$2, E5)</f>
        <v>1894129213.7540791</v>
      </c>
      <c r="H5" s="2">
        <f>G5*Parameters!$B$4</f>
        <v>49247359.557606056</v>
      </c>
      <c r="I5" s="2">
        <f>1/POWER(1+Parameters!$B$5, A5)</f>
        <v>0.68301345536507052</v>
      </c>
      <c r="J5" s="6">
        <f t="shared" si="0"/>
        <v>33636609.219046541</v>
      </c>
      <c r="K5" s="6">
        <f>SUM($G$2:G5)</f>
        <v>7576516855.0163164</v>
      </c>
      <c r="L5">
        <f t="shared" si="1"/>
        <v>1124639.2206664844</v>
      </c>
      <c r="M5" s="14">
        <f>L5*IF(E5="",Parameters!$B$2,E5)</f>
        <v>1799422753.066375</v>
      </c>
      <c r="N5" s="17">
        <f t="shared" si="2"/>
        <v>45165511.101966016</v>
      </c>
      <c r="O5" s="17">
        <f t="shared" si="3"/>
        <v>30848651.801083263</v>
      </c>
    </row>
    <row r="6" spans="1:15">
      <c r="A6" s="2">
        <v>5</v>
      </c>
      <c r="B6" s="2">
        <v>24000000</v>
      </c>
      <c r="C6" s="2">
        <v>1.871</v>
      </c>
      <c r="D6" s="2">
        <v>0.82</v>
      </c>
      <c r="E6" s="2">
        <v>1600</v>
      </c>
      <c r="F6" s="2">
        <f>IFERROR(B6*C6*IF(D6="", Parameters!$B$2, D6)/Parameters!$B$6, 0)</f>
        <v>1183830.7585962994</v>
      </c>
      <c r="G6" s="13">
        <f>F6*IF(E6="", Parameters!$B$2, E6)</f>
        <v>1894129213.7540791</v>
      </c>
      <c r="H6" s="2">
        <f>G6*Parameters!$B$4</f>
        <v>49247359.557606056</v>
      </c>
      <c r="I6" s="2">
        <f>1/POWER(1+Parameters!$B$5, A6)</f>
        <v>0.62092132305915493</v>
      </c>
      <c r="J6" s="6">
        <f t="shared" si="0"/>
        <v>30578735.653678671</v>
      </c>
      <c r="K6" s="6">
        <f>SUM($G$2:G6)</f>
        <v>9470646068.7703953</v>
      </c>
      <c r="L6">
        <f t="shared" si="1"/>
        <v>1124639.2206664844</v>
      </c>
      <c r="M6" s="14">
        <f>L6*IF(E6="",Parameters!$B$2,E6)</f>
        <v>1799422753.066375</v>
      </c>
      <c r="N6" s="17">
        <f t="shared" si="2"/>
        <v>45165511.101966016</v>
      </c>
      <c r="O6" s="17">
        <f t="shared" si="3"/>
        <v>28044228.910075691</v>
      </c>
    </row>
    <row r="7" spans="1:15">
      <c r="A7" s="2">
        <v>6</v>
      </c>
      <c r="B7" s="2">
        <v>24000000</v>
      </c>
      <c r="C7" s="2">
        <v>1.871</v>
      </c>
      <c r="D7" s="2">
        <v>0.82</v>
      </c>
      <c r="E7" s="2">
        <v>1600</v>
      </c>
      <c r="F7" s="2">
        <f>IFERROR(B7*C7*IF(D7="", Parameters!$B$2, D7)/Parameters!$B$6, 0)</f>
        <v>1183830.7585962994</v>
      </c>
      <c r="G7" s="13">
        <f>F7*IF(E7="", Parameters!$B$2, E7)</f>
        <v>1894129213.7540791</v>
      </c>
      <c r="H7" s="2">
        <f>G7*Parameters!$B$4</f>
        <v>49247359.557606056</v>
      </c>
      <c r="I7" s="2">
        <f>1/POWER(1+Parameters!$B$5, A7)</f>
        <v>0.56447393005377722</v>
      </c>
      <c r="J7" s="6">
        <f t="shared" si="0"/>
        <v>27798850.594253339</v>
      </c>
      <c r="K7" s="6">
        <f>SUM($G$2:G7)</f>
        <v>11364775282.524475</v>
      </c>
      <c r="L7">
        <f t="shared" si="1"/>
        <v>1124639.2206664844</v>
      </c>
      <c r="M7" s="14">
        <f>L7*IF(E7="",Parameters!$B$2,E7)</f>
        <v>1799422753.066375</v>
      </c>
      <c r="N7" s="17">
        <f t="shared" si="2"/>
        <v>45165511.101966016</v>
      </c>
      <c r="O7" s="17">
        <f t="shared" si="3"/>
        <v>25494753.554614265</v>
      </c>
    </row>
    <row r="8" spans="1:15">
      <c r="A8" s="2">
        <v>7</v>
      </c>
      <c r="B8" s="2">
        <v>24000000</v>
      </c>
      <c r="C8" s="2">
        <v>1.871</v>
      </c>
      <c r="D8" s="2">
        <v>0.82</v>
      </c>
      <c r="E8" s="2">
        <v>1600</v>
      </c>
      <c r="F8" s="2">
        <f>IFERROR(B8*C8*IF(D8="", Parameters!$B$2, D8)/Parameters!$B$6, 0)</f>
        <v>1183830.7585962994</v>
      </c>
      <c r="G8" s="13">
        <f>F8*IF(E8="", Parameters!$B$2, E8)</f>
        <v>1894129213.7540791</v>
      </c>
      <c r="H8" s="2">
        <f>G8*Parameters!$B$4</f>
        <v>49247359.557606056</v>
      </c>
      <c r="I8" s="2">
        <f>1/POWER(1+Parameters!$B$5, A8)</f>
        <v>0.51315811823070645</v>
      </c>
      <c r="J8" s="6">
        <f t="shared" si="0"/>
        <v>25271682.35841212</v>
      </c>
      <c r="K8" s="6">
        <f>SUM($G$2:G8)</f>
        <v>13258904496.278555</v>
      </c>
      <c r="L8">
        <f t="shared" si="1"/>
        <v>1124639.2206664844</v>
      </c>
      <c r="M8" s="14">
        <f>L8*IF(E8="",Parameters!$B$2,E8)</f>
        <v>1799422753.066375</v>
      </c>
      <c r="N8" s="17">
        <f t="shared" si="2"/>
        <v>45165511.101966016</v>
      </c>
      <c r="O8" s="17">
        <f t="shared" si="3"/>
        <v>23177048.686012961</v>
      </c>
    </row>
    <row r="9" spans="1:15">
      <c r="A9" s="2">
        <v>8</v>
      </c>
      <c r="B9" s="2">
        <v>24000000</v>
      </c>
      <c r="C9" s="2">
        <v>1.871</v>
      </c>
      <c r="D9" s="2">
        <v>0.82</v>
      </c>
      <c r="E9" s="2">
        <v>1600</v>
      </c>
      <c r="F9" s="2">
        <f>IFERROR(B9*C9*IF(D9="", Parameters!$B$2, D9)/Parameters!$B$6, 0)</f>
        <v>1183830.7585962994</v>
      </c>
      <c r="G9" s="13">
        <f>F9*IF(E9="", Parameters!$B$2, E9)</f>
        <v>1894129213.7540791</v>
      </c>
      <c r="H9" s="2">
        <f>G9*Parameters!$B$4</f>
        <v>49247359.557606056</v>
      </c>
      <c r="I9" s="2">
        <f>1/POWER(1+Parameters!$B$5, A9)</f>
        <v>0.46650738020973315</v>
      </c>
      <c r="J9" s="6">
        <f t="shared" si="0"/>
        <v>22974256.689465564</v>
      </c>
      <c r="K9" s="6">
        <f>SUM($G$2:G9)</f>
        <v>15153033710.032635</v>
      </c>
      <c r="L9">
        <f t="shared" si="1"/>
        <v>1124639.2206664844</v>
      </c>
      <c r="M9" s="14">
        <f>L9*IF(E9="",Parameters!$B$2,E9)</f>
        <v>1799422753.066375</v>
      </c>
      <c r="N9" s="17">
        <f t="shared" si="2"/>
        <v>45165511.101966016</v>
      </c>
      <c r="O9" s="17">
        <f t="shared" si="3"/>
        <v>21070044.260011785</v>
      </c>
    </row>
    <row r="10" spans="1:15">
      <c r="A10" s="2">
        <v>9</v>
      </c>
      <c r="B10" s="2">
        <v>24000000</v>
      </c>
      <c r="C10" s="2">
        <v>1.871</v>
      </c>
      <c r="D10" s="2">
        <v>0.82</v>
      </c>
      <c r="E10" s="2">
        <v>1600</v>
      </c>
      <c r="F10" s="2">
        <f>IFERROR(B10*C10*IF(D10="", Parameters!$B$2, D10)/Parameters!$B$6, 0)</f>
        <v>1183830.7585962994</v>
      </c>
      <c r="G10" s="13">
        <f>F10*IF(E10="", Parameters!$B$2, E10)</f>
        <v>1894129213.7540791</v>
      </c>
      <c r="H10" s="2">
        <f>G10*Parameters!$B$4</f>
        <v>49247359.557606056</v>
      </c>
      <c r="I10" s="2">
        <f>1/POWER(1+Parameters!$B$5, A10)</f>
        <v>0.42409761837248466</v>
      </c>
      <c r="J10" s="6">
        <f t="shared" si="0"/>
        <v>20885687.89951415</v>
      </c>
      <c r="K10" s="6">
        <f>SUM($G$2:G10)</f>
        <v>17047162923.786715</v>
      </c>
      <c r="L10">
        <f t="shared" si="1"/>
        <v>1124639.2206664844</v>
      </c>
      <c r="M10" s="14">
        <f>L10*IF(E10="",Parameters!$B$2,E10)</f>
        <v>1799422753.066375</v>
      </c>
      <c r="N10" s="17">
        <f t="shared" si="2"/>
        <v>45165511.101966016</v>
      </c>
      <c r="O10" s="17">
        <f t="shared" si="3"/>
        <v>19154585.690919802</v>
      </c>
    </row>
    <row r="11" spans="1:15">
      <c r="A11" s="2">
        <v>10</v>
      </c>
      <c r="B11" s="2">
        <v>24000000</v>
      </c>
      <c r="C11" s="2">
        <v>1.871</v>
      </c>
      <c r="D11" s="2">
        <v>0.82</v>
      </c>
      <c r="E11" s="2">
        <v>1600</v>
      </c>
      <c r="F11" s="2">
        <f>IFERROR(B11*C11*IF(D11="", Parameters!$B$2, D11)/Parameters!$B$6, 0)</f>
        <v>1183830.7585962994</v>
      </c>
      <c r="G11" s="13">
        <f>F11*IF(E11="", Parameters!$B$2, E11)</f>
        <v>1894129213.7540791</v>
      </c>
      <c r="H11" s="2">
        <f>G11*Parameters!$B$4</f>
        <v>49247359.557606056</v>
      </c>
      <c r="I11" s="2">
        <f>1/POWER(1+Parameters!$B$5, A11)</f>
        <v>0.38554328942953148</v>
      </c>
      <c r="J11" s="6">
        <f t="shared" si="0"/>
        <v>18986988.999558315</v>
      </c>
      <c r="K11" s="6">
        <f>SUM($G$2:G11)</f>
        <v>18941292137.540794</v>
      </c>
      <c r="L11">
        <f t="shared" si="1"/>
        <v>1124639.2206664844</v>
      </c>
      <c r="M11" s="14">
        <f>L11*IF(E11="",Parameters!$B$2,E11)</f>
        <v>1799422753.066375</v>
      </c>
      <c r="N11" s="17">
        <f t="shared" si="2"/>
        <v>45165511.101966016</v>
      </c>
      <c r="O11" s="17">
        <f t="shared" si="3"/>
        <v>17413259.719018001</v>
      </c>
    </row>
    <row r="12" spans="1:15">
      <c r="A12" s="2">
        <v>11</v>
      </c>
      <c r="B12" s="2">
        <v>24000000</v>
      </c>
      <c r="C12" s="2">
        <v>1.871</v>
      </c>
      <c r="D12" s="2">
        <v>0.82</v>
      </c>
      <c r="E12" s="2">
        <v>1600</v>
      </c>
      <c r="F12" s="2">
        <f>IFERROR(B12*C12*IF(D12="", Parameters!$B$2, D12)/Parameters!$B$6, 0)</f>
        <v>1183830.7585962994</v>
      </c>
      <c r="G12" s="13">
        <f>F12*IF(E12="", Parameters!$B$2, E12)</f>
        <v>1894129213.7540791</v>
      </c>
      <c r="H12" s="2">
        <f>G12*Parameters!$B$4</f>
        <v>49247359.557606056</v>
      </c>
      <c r="I12" s="2">
        <f>1/POWER(1+Parameters!$B$5, A12)</f>
        <v>0.3504938994813922</v>
      </c>
      <c r="J12" s="6">
        <f t="shared" si="0"/>
        <v>17260899.090507556</v>
      </c>
      <c r="K12" s="6">
        <f>SUM($G$2:G12)</f>
        <v>20835421351.294872</v>
      </c>
      <c r="L12">
        <f t="shared" si="1"/>
        <v>1124639.2206664844</v>
      </c>
      <c r="M12" s="14">
        <f>L12*IF(E12="",Parameters!$B$2,E12)</f>
        <v>1799422753.066375</v>
      </c>
      <c r="N12" s="17">
        <f t="shared" si="2"/>
        <v>45165511.101966016</v>
      </c>
      <c r="O12" s="17">
        <f t="shared" si="3"/>
        <v>15830236.108198181</v>
      </c>
    </row>
    <row r="13" spans="1:15">
      <c r="A13" s="2">
        <v>12</v>
      </c>
      <c r="B13" s="2">
        <v>24000000</v>
      </c>
      <c r="C13" s="2">
        <v>1.871</v>
      </c>
      <c r="D13" s="2">
        <v>0.82</v>
      </c>
      <c r="E13" s="2">
        <v>1600</v>
      </c>
      <c r="F13" s="2">
        <f>IFERROR(B13*C13*IF(D13="", Parameters!$B$2, D13)/Parameters!$B$6, 0)</f>
        <v>1183830.7585962994</v>
      </c>
      <c r="G13" s="13">
        <f>F13*IF(E13="", Parameters!$B$2, E13)</f>
        <v>1894129213.7540791</v>
      </c>
      <c r="H13" s="2">
        <f>G13*Parameters!$B$4</f>
        <v>49247359.557606056</v>
      </c>
      <c r="I13" s="2">
        <f>1/POWER(1+Parameters!$B$5, A13)</f>
        <v>0.31863081771035656</v>
      </c>
      <c r="J13" s="6">
        <f t="shared" si="0"/>
        <v>15691726.445915962</v>
      </c>
      <c r="K13" s="6">
        <f>SUM($G$2:G13)</f>
        <v>22729550565.04895</v>
      </c>
      <c r="L13">
        <f t="shared" si="1"/>
        <v>1124639.2206664844</v>
      </c>
      <c r="M13" s="14">
        <f>L13*IF(E13="",Parameters!$B$2,E13)</f>
        <v>1799422753.066375</v>
      </c>
      <c r="N13" s="17">
        <f t="shared" si="2"/>
        <v>45165511.101966016</v>
      </c>
      <c r="O13" s="17">
        <f t="shared" si="3"/>
        <v>14391123.734725619</v>
      </c>
    </row>
    <row r="14" spans="1:15">
      <c r="A14" s="2">
        <v>13</v>
      </c>
      <c r="B14" s="2">
        <v>24000000</v>
      </c>
      <c r="C14" s="2">
        <v>1.871</v>
      </c>
      <c r="D14" s="2">
        <v>0.82</v>
      </c>
      <c r="E14" s="2">
        <v>1600</v>
      </c>
      <c r="F14" s="2">
        <f>IFERROR(B14*C14*IF(D14="", Parameters!$B$2, D14)/Parameters!$B$6, 0)</f>
        <v>1183830.7585962994</v>
      </c>
      <c r="G14" s="13">
        <f>F14*IF(E14="", Parameters!$B$2, E14)</f>
        <v>1894129213.7540791</v>
      </c>
      <c r="H14" s="2">
        <f>G14*Parameters!$B$4</f>
        <v>49247359.557606056</v>
      </c>
      <c r="I14" s="2">
        <f>1/POWER(1+Parameters!$B$5, A14)</f>
        <v>0.28966437973668779</v>
      </c>
      <c r="J14" s="6">
        <f t="shared" si="0"/>
        <v>14265205.859923601</v>
      </c>
      <c r="K14" s="6">
        <f>SUM($G$2:G14)</f>
        <v>24623679778.803028</v>
      </c>
      <c r="L14">
        <f t="shared" si="1"/>
        <v>1124639.2206664844</v>
      </c>
      <c r="M14" s="14">
        <f>L14*IF(E14="",Parameters!$B$2,E14)</f>
        <v>1799422753.066375</v>
      </c>
      <c r="N14" s="17">
        <f t="shared" si="2"/>
        <v>45165511.101966016</v>
      </c>
      <c r="O14" s="17">
        <f t="shared" si="3"/>
        <v>13082839.758841472</v>
      </c>
    </row>
    <row r="15" spans="1:15">
      <c r="A15" s="2">
        <v>14</v>
      </c>
      <c r="B15" s="2">
        <v>24000000</v>
      </c>
      <c r="C15" s="2">
        <v>1.871</v>
      </c>
      <c r="D15" s="2">
        <v>0.82</v>
      </c>
      <c r="E15" s="2">
        <v>1600</v>
      </c>
      <c r="F15" s="2">
        <f>IFERROR(B15*C15*IF(D15="", Parameters!$B$2, D15)/Parameters!$B$6, 0)</f>
        <v>1183830.7585962994</v>
      </c>
      <c r="G15" s="13">
        <f>F15*IF(E15="", Parameters!$B$2, E15)</f>
        <v>1894129213.7540791</v>
      </c>
      <c r="H15" s="2">
        <f>G15*Parameters!$B$4</f>
        <v>49247359.557606056</v>
      </c>
      <c r="I15" s="2">
        <f>1/POWER(1+Parameters!$B$5, A15)</f>
        <v>0.26333125430607973</v>
      </c>
      <c r="J15" s="6">
        <f t="shared" si="0"/>
        <v>12968368.963566907</v>
      </c>
      <c r="K15" s="6">
        <f>SUM($G$2:G15)</f>
        <v>26517808992.557106</v>
      </c>
      <c r="L15">
        <f t="shared" si="1"/>
        <v>1124639.2206664844</v>
      </c>
      <c r="M15" s="14">
        <f>L15*IF(E15="",Parameters!$B$2,E15)</f>
        <v>1799422753.066375</v>
      </c>
      <c r="N15" s="17">
        <f t="shared" si="2"/>
        <v>45165511.101966016</v>
      </c>
      <c r="O15" s="17">
        <f t="shared" si="3"/>
        <v>11893490.689855881</v>
      </c>
    </row>
    <row r="16" spans="1:15">
      <c r="A16" s="2">
        <v>15</v>
      </c>
      <c r="B16" s="2">
        <v>24000000</v>
      </c>
      <c r="C16" s="2">
        <v>1.871</v>
      </c>
      <c r="D16" s="2">
        <v>0.82</v>
      </c>
      <c r="E16" s="2">
        <v>1600</v>
      </c>
      <c r="F16" s="2">
        <f>IFERROR(B16*C16*IF(D16="", Parameters!$B$2, D16)/Parameters!$B$6, 0)</f>
        <v>1183830.7585962994</v>
      </c>
      <c r="G16" s="13">
        <f>F16*IF(E16="", Parameters!$B$2, E16)</f>
        <v>1894129213.7540791</v>
      </c>
      <c r="H16" s="2">
        <f>G16*Parameters!$B$4</f>
        <v>49247359.557606056</v>
      </c>
      <c r="I16" s="2">
        <f>1/POWER(1+Parameters!$B$5, A16)</f>
        <v>0.23939204936916339</v>
      </c>
      <c r="J16" s="6">
        <f t="shared" si="0"/>
        <v>11789426.33051537</v>
      </c>
      <c r="K16" s="6">
        <f>SUM($G$2:G16)</f>
        <v>28411938206.311184</v>
      </c>
      <c r="L16">
        <f t="shared" si="1"/>
        <v>1124639.2206664844</v>
      </c>
      <c r="M16" s="14">
        <f>L16*IF(E16="",Parameters!$B$2,E16)</f>
        <v>1799422753.066375</v>
      </c>
      <c r="N16" s="17">
        <f t="shared" si="2"/>
        <v>45165511.101966016</v>
      </c>
      <c r="O16" s="17">
        <f t="shared" si="3"/>
        <v>10812264.263505345</v>
      </c>
    </row>
    <row r="17" spans="1:15">
      <c r="A17" s="2">
        <v>16</v>
      </c>
      <c r="B17" s="2">
        <v>24000000</v>
      </c>
      <c r="C17" s="2">
        <v>1.871</v>
      </c>
      <c r="D17" s="2">
        <v>0.82</v>
      </c>
      <c r="E17" s="2">
        <v>1600</v>
      </c>
      <c r="F17" s="2">
        <f>IFERROR(B17*C17*IF(D17="", Parameters!$B$2, D17)/Parameters!$B$6, 0)</f>
        <v>1183830.7585962994</v>
      </c>
      <c r="G17" s="13">
        <f>F17*IF(E17="", Parameters!$B$2, E17)</f>
        <v>1894129213.7540791</v>
      </c>
      <c r="H17" s="2">
        <f>G17*Parameters!$B$4</f>
        <v>49247359.557606056</v>
      </c>
      <c r="I17" s="2">
        <f>1/POWER(1+Parameters!$B$5, A17)</f>
        <v>0.21762913579014853</v>
      </c>
      <c r="J17" s="6">
        <f t="shared" si="0"/>
        <v>10717660.300468517</v>
      </c>
      <c r="K17" s="6">
        <f>SUM($G$2:G17)</f>
        <v>30306067420.065262</v>
      </c>
      <c r="L17">
        <f t="shared" si="1"/>
        <v>1124639.2206664844</v>
      </c>
      <c r="M17" s="14">
        <f>L17*IF(E17="",Parameters!$B$2,E17)</f>
        <v>1799422753.066375</v>
      </c>
      <c r="N17" s="17">
        <f t="shared" si="2"/>
        <v>45165511.101966016</v>
      </c>
      <c r="O17" s="17">
        <f t="shared" si="3"/>
        <v>9829331.1486412231</v>
      </c>
    </row>
    <row r="18" spans="1:15">
      <c r="A18" s="2">
        <v>17</v>
      </c>
      <c r="B18" s="2">
        <v>24000000</v>
      </c>
      <c r="C18" s="2">
        <v>1.871</v>
      </c>
      <c r="D18" s="2">
        <v>0.82</v>
      </c>
      <c r="E18" s="2">
        <v>1600</v>
      </c>
      <c r="F18" s="2">
        <f>IFERROR(B18*C18*IF(D18="", Parameters!$B$2, D18)/Parameters!$B$6, 0)</f>
        <v>1183830.7585962994</v>
      </c>
      <c r="G18" s="13">
        <f>F18*IF(E18="", Parameters!$B$2, E18)</f>
        <v>1894129213.7540791</v>
      </c>
      <c r="H18" s="2">
        <f>G18*Parameters!$B$4</f>
        <v>49247359.557606056</v>
      </c>
      <c r="I18" s="2">
        <f>1/POWER(1+Parameters!$B$5, A18)</f>
        <v>0.19784466890013502</v>
      </c>
      <c r="J18" s="6">
        <f t="shared" si="0"/>
        <v>9743327.5458804704</v>
      </c>
      <c r="K18" s="6">
        <f>SUM($G$2:G18)</f>
        <v>32200196633.81934</v>
      </c>
      <c r="L18">
        <f t="shared" si="1"/>
        <v>1124639.2206664844</v>
      </c>
      <c r="M18" s="14">
        <f>L18*IF(E18="",Parameters!$B$2,E18)</f>
        <v>1799422753.066375</v>
      </c>
      <c r="N18" s="17">
        <f t="shared" si="2"/>
        <v>45165511.101966016</v>
      </c>
      <c r="O18" s="17">
        <f t="shared" si="3"/>
        <v>8935755.5896738395</v>
      </c>
    </row>
    <row r="19" spans="1:15">
      <c r="A19" s="2">
        <v>18</v>
      </c>
      <c r="B19" s="2">
        <v>24000000</v>
      </c>
      <c r="C19" s="2">
        <v>1.871</v>
      </c>
      <c r="D19" s="2">
        <v>0.82</v>
      </c>
      <c r="E19" s="2">
        <v>1600</v>
      </c>
      <c r="F19" s="2">
        <f>IFERROR(B19*C19*IF(D19="", Parameters!$B$2, D19)/Parameters!$B$6, 0)</f>
        <v>1183830.7585962994</v>
      </c>
      <c r="G19" s="13">
        <f>F19*IF(E19="", Parameters!$B$2, E19)</f>
        <v>1894129213.7540791</v>
      </c>
      <c r="H19" s="2">
        <f>G19*Parameters!$B$4</f>
        <v>49247359.557606056</v>
      </c>
      <c r="I19" s="2">
        <f>1/POWER(1+Parameters!$B$5, A19)</f>
        <v>0.17985878990921364</v>
      </c>
      <c r="J19" s="6">
        <f t="shared" si="0"/>
        <v>8857570.4962549713</v>
      </c>
      <c r="K19" s="6">
        <f>SUM($G$2:G19)</f>
        <v>34094325847.573418</v>
      </c>
      <c r="L19">
        <f t="shared" si="1"/>
        <v>1124639.2206664844</v>
      </c>
      <c r="M19" s="14">
        <f>L19*IF(E19="",Parameters!$B$2,E19)</f>
        <v>1799422753.066375</v>
      </c>
      <c r="N19" s="17">
        <f t="shared" si="2"/>
        <v>45165511.101966016</v>
      </c>
      <c r="O19" s="17">
        <f t="shared" si="3"/>
        <v>8123414.1724307621</v>
      </c>
    </row>
    <row r="20" spans="1:15">
      <c r="A20" s="2">
        <v>19</v>
      </c>
      <c r="B20" s="2">
        <v>24000000</v>
      </c>
      <c r="C20" s="2">
        <v>1.871</v>
      </c>
      <c r="D20" s="2">
        <v>0.82</v>
      </c>
      <c r="E20" s="2">
        <v>1600</v>
      </c>
      <c r="F20" s="2">
        <f>IFERROR(B20*C20*IF(D20="", Parameters!$B$2, D20)/Parameters!$B$6, 0)</f>
        <v>1183830.7585962994</v>
      </c>
      <c r="G20" s="13">
        <f>F20*IF(E20="", Parameters!$B$2, E20)</f>
        <v>1894129213.7540791</v>
      </c>
      <c r="H20" s="2">
        <f>G20*Parameters!$B$4</f>
        <v>49247359.557606056</v>
      </c>
      <c r="I20" s="2">
        <f>1/POWER(1+Parameters!$B$5, A20)</f>
        <v>0.16350799082655781</v>
      </c>
      <c r="J20" s="6">
        <f t="shared" si="0"/>
        <v>8052336.8147772457</v>
      </c>
      <c r="K20" s="6">
        <f>SUM($G$2:G20)</f>
        <v>35988455061.327499</v>
      </c>
      <c r="L20">
        <f t="shared" si="1"/>
        <v>1124639.2206664844</v>
      </c>
      <c r="M20" s="14">
        <f>L20*IF(E20="",Parameters!$B$2,E20)</f>
        <v>1799422753.066375</v>
      </c>
      <c r="N20" s="17">
        <f t="shared" si="2"/>
        <v>45165511.101966016</v>
      </c>
      <c r="O20" s="17">
        <f t="shared" si="3"/>
        <v>7384921.9749370543</v>
      </c>
    </row>
    <row r="21" spans="1:15">
      <c r="A21" s="2">
        <v>20</v>
      </c>
      <c r="B21" s="2">
        <v>24000000</v>
      </c>
      <c r="C21" s="2">
        <v>1.871</v>
      </c>
      <c r="D21" s="2">
        <v>0.82</v>
      </c>
      <c r="E21" s="2">
        <v>1600</v>
      </c>
      <c r="F21" s="2">
        <f>IFERROR(B21*C21*IF(D21="", Parameters!$B$2, D21)/Parameters!$B$6, 0)</f>
        <v>1183830.7585962994</v>
      </c>
      <c r="G21" s="13">
        <f>F21*IF(E21="", Parameters!$B$2, E21)</f>
        <v>1894129213.7540791</v>
      </c>
      <c r="H21" s="2">
        <f>G21*Parameters!$B$4</f>
        <v>49247359.557606056</v>
      </c>
      <c r="I21" s="2">
        <f>1/POWER(1+Parameters!$B$5, A21)</f>
        <v>0.14864362802414349</v>
      </c>
      <c r="J21" s="6">
        <f t="shared" si="0"/>
        <v>7320306.1952520423</v>
      </c>
      <c r="K21" s="6">
        <f>SUM($G$2:G21)</f>
        <v>37882584275.081581</v>
      </c>
      <c r="L21">
        <f t="shared" si="1"/>
        <v>1124639.2206664844</v>
      </c>
      <c r="M21" s="14">
        <f>L21*IF(E21="",Parameters!$B$2,E21)</f>
        <v>1799422753.066375</v>
      </c>
      <c r="N21" s="17">
        <f t="shared" si="2"/>
        <v>45165511.101966016</v>
      </c>
      <c r="O21" s="17">
        <f t="shared" si="3"/>
        <v>6713565.4317609593</v>
      </c>
    </row>
    <row r="22" spans="1:15">
      <c r="A22" s="2">
        <v>21</v>
      </c>
      <c r="B22" s="2">
        <v>24000000</v>
      </c>
      <c r="C22" s="2">
        <v>1.871</v>
      </c>
      <c r="D22" s="2">
        <v>0.82</v>
      </c>
      <c r="E22" s="2">
        <v>1600</v>
      </c>
      <c r="F22" s="2">
        <f>IFERROR(B22*C22*IF(D22="", Parameters!$B$2, D22)/Parameters!$B$6, 0)</f>
        <v>1183830.7585962994</v>
      </c>
      <c r="G22" s="13">
        <f>F22*IF(E22="", Parameters!$B$2, E22)</f>
        <v>1894129213.7540791</v>
      </c>
      <c r="H22" s="2">
        <f>G22*Parameters!$B$4</f>
        <v>49247359.557606056</v>
      </c>
      <c r="I22" s="2">
        <f>1/POWER(1+Parameters!$B$5, A22)</f>
        <v>0.13513057093103953</v>
      </c>
      <c r="J22" s="6">
        <f t="shared" si="0"/>
        <v>6654823.8138654931</v>
      </c>
      <c r="K22" s="6">
        <f>SUM($G$2:G22)</f>
        <v>39776713488.835663</v>
      </c>
      <c r="L22">
        <f t="shared" si="1"/>
        <v>1124639.2206664844</v>
      </c>
      <c r="M22" s="14">
        <f>L22*IF(E22="",Parameters!$B$2,E22)</f>
        <v>1799422753.066375</v>
      </c>
      <c r="N22" s="17">
        <f t="shared" si="2"/>
        <v>45165511.101966016</v>
      </c>
      <c r="O22" s="17">
        <f t="shared" si="3"/>
        <v>6103241.3016008716</v>
      </c>
    </row>
    <row r="23" spans="1:15">
      <c r="A23" s="2">
        <v>22</v>
      </c>
      <c r="B23" s="2">
        <v>24000000</v>
      </c>
      <c r="C23" s="2">
        <v>1.871</v>
      </c>
      <c r="D23" s="2">
        <v>0.82</v>
      </c>
      <c r="E23" s="2">
        <v>1600</v>
      </c>
      <c r="F23" s="2">
        <f>IFERROR(B23*C23*IF(D23="", Parameters!$B$2, D23)/Parameters!$B$6, 0)</f>
        <v>1183830.7585962994</v>
      </c>
      <c r="G23" s="13">
        <f>F23*IF(E23="", Parameters!$B$2, E23)</f>
        <v>1894129213.7540791</v>
      </c>
      <c r="H23" s="2">
        <f>G23*Parameters!$B$4</f>
        <v>49247359.557606056</v>
      </c>
      <c r="I23" s="2">
        <f>1/POWER(1+Parameters!$B$5, A23)</f>
        <v>0.12284597357367227</v>
      </c>
      <c r="J23" s="6">
        <f t="shared" si="0"/>
        <v>6049839.8307868103</v>
      </c>
      <c r="K23" s="6">
        <f>SUM($G$2:G23)</f>
        <v>41670842702.589745</v>
      </c>
      <c r="L23">
        <f t="shared" ref="L23:L24" si="4">F23*0.95</f>
        <v>1124639.2206664844</v>
      </c>
      <c r="M23" s="14">
        <f>L23*IF(E23="",Parameters!$B$2,E23)</f>
        <v>1799422753.066375</v>
      </c>
      <c r="N23" s="17">
        <f t="shared" si="2"/>
        <v>45165511.101966016</v>
      </c>
      <c r="O23" s="17">
        <f t="shared" ref="O23:O24" si="5">N23*I23</f>
        <v>5548401.1832735185</v>
      </c>
    </row>
    <row r="24" spans="1:15">
      <c r="A24" s="2">
        <v>23</v>
      </c>
      <c r="B24" s="2">
        <v>24000000</v>
      </c>
      <c r="C24" s="2">
        <v>1.871</v>
      </c>
      <c r="D24" s="2">
        <v>0.82</v>
      </c>
      <c r="E24" s="2">
        <v>1600</v>
      </c>
      <c r="F24" s="2">
        <f>IFERROR(B24*C24*IF(D24="", Parameters!$B$2, D24)/Parameters!$B$6, 0)</f>
        <v>1183830.7585962994</v>
      </c>
      <c r="G24" s="13">
        <f>F24*IF(E24="", Parameters!$B$2, E24)</f>
        <v>1894129213.7540791</v>
      </c>
      <c r="H24" s="2">
        <f>G24*Parameters!$B$4</f>
        <v>49247359.557606056</v>
      </c>
      <c r="I24" s="2">
        <f>1/POWER(1+Parameters!$B$5, A24)</f>
        <v>0.11167815779424752</v>
      </c>
      <c r="J24" s="6">
        <f t="shared" si="0"/>
        <v>5499854.3916243725</v>
      </c>
      <c r="K24" s="6">
        <f>SUM($G$2:G24)</f>
        <v>43564971916.343826</v>
      </c>
      <c r="L24">
        <f t="shared" si="4"/>
        <v>1124639.2206664844</v>
      </c>
      <c r="M24" s="14">
        <f>L24*IF(E24="",Parameters!$B$2,E24)</f>
        <v>1799422753.066375</v>
      </c>
      <c r="N24" s="17">
        <f t="shared" si="2"/>
        <v>45165511.101966016</v>
      </c>
      <c r="O24" s="17">
        <f t="shared" si="5"/>
        <v>5044001.075703199</v>
      </c>
    </row>
    <row r="25" spans="1:15">
      <c r="A25" s="2"/>
      <c r="B25" s="2"/>
      <c r="C25" s="2"/>
      <c r="D25" s="2"/>
      <c r="E25" s="2"/>
      <c r="F25" s="2"/>
      <c r="G25" s="13"/>
      <c r="H25" s="2"/>
      <c r="I25" s="2"/>
      <c r="J25" s="6"/>
      <c r="K25" s="6"/>
      <c r="M25" s="14"/>
      <c r="N25" s="17"/>
      <c r="O25" s="17"/>
    </row>
    <row r="26" spans="1:15">
      <c r="A26" s="2"/>
      <c r="B26" s="2"/>
      <c r="C26" s="2"/>
      <c r="D26" s="2"/>
      <c r="E26" s="2"/>
      <c r="F26" s="2"/>
      <c r="G26" s="13"/>
      <c r="H26" s="2"/>
      <c r="I26" s="2"/>
      <c r="J26" s="6"/>
      <c r="K26" s="6"/>
      <c r="M26" s="14"/>
      <c r="N26" s="17"/>
      <c r="O26" s="17"/>
    </row>
    <row r="27" spans="1:15">
      <c r="A27" s="2"/>
      <c r="B27" s="2"/>
      <c r="C27" s="2"/>
      <c r="D27" s="2"/>
      <c r="E27" s="2"/>
      <c r="F27" s="2"/>
      <c r="G27" s="13"/>
      <c r="H27" s="2"/>
      <c r="I27" s="2"/>
      <c r="J27" s="6"/>
      <c r="K27" s="6"/>
      <c r="M27" s="14"/>
      <c r="N27" s="17"/>
      <c r="O27" s="17"/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43564971916.343826</v>
      </c>
      <c r="H39">
        <f>SUM(H2:H33)</f>
        <v>1132689269.8249395</v>
      </c>
      <c r="J39" s="11">
        <f>SUM(J2:J24)</f>
        <v>437475051.65981656</v>
      </c>
      <c r="O39" s="11">
        <f>SUM(O2:O24)</f>
        <v>401215100.26262778</v>
      </c>
    </row>
    <row r="40" spans="1:15">
      <c r="F40" s="3" t="s">
        <v>16</v>
      </c>
      <c r="G40" s="10">
        <f>G39</f>
        <v>43564971916.343826</v>
      </c>
    </row>
    <row r="41" spans="1:15">
      <c r="F41" s="3" t="s">
        <v>17</v>
      </c>
      <c r="G41" s="10">
        <f>H39</f>
        <v>1132689269.8249395</v>
      </c>
    </row>
    <row r="42" spans="1:15">
      <c r="F42" s="3" t="s">
        <v>9</v>
      </c>
      <c r="G42" s="10">
        <f>J39</f>
        <v>437475051.65981656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5995-BF10-413B-8174-E93062535E9A}">
  <sheetPr codeName="Sheet17"/>
  <dimension ref="A1:O42"/>
  <sheetViews>
    <sheetView topLeftCell="A7" workbookViewId="0">
      <pane xSplit="1" topLeftCell="E1" activePane="topRight" state="frozen"/>
      <selection pane="topRight" activeCell="M37" sqref="M37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18000000</v>
      </c>
      <c r="C2" s="2">
        <v>1.8959999999999999</v>
      </c>
      <c r="D2" s="2">
        <v>0.82</v>
      </c>
      <c r="E2" s="2">
        <v>1600</v>
      </c>
      <c r="F2" s="2">
        <f>IFERROR(B2*C2*IF(D2="", Parameters!$B$2, D2)/Parameters!$B$6, 0)</f>
        <v>899736.68558200845</v>
      </c>
      <c r="G2" s="13">
        <f>F2*IF(E2="", Parameters!$B$2, E2)</f>
        <v>1439578696.9312136</v>
      </c>
      <c r="H2" s="2">
        <f>G2*Parameters!$B$4</f>
        <v>37429046.120211549</v>
      </c>
      <c r="I2" s="2">
        <f>1/POWER(1+Parameters!$B$5, A2)</f>
        <v>0.90909090909090906</v>
      </c>
      <c r="J2" s="6">
        <f t="shared" ref="J2:J33" si="0">H2*I2</f>
        <v>34026405.563828677</v>
      </c>
      <c r="K2" s="6">
        <f>SUM($G$2:G2)</f>
        <v>1439578696.9312136</v>
      </c>
      <c r="L2">
        <f>F2*0.95</f>
        <v>854749.85130290803</v>
      </c>
      <c r="M2" s="14">
        <f>L2*IF(E2="",Parameters!$B$2,E2)</f>
        <v>1367599762.0846529</v>
      </c>
      <c r="N2" s="17">
        <f>M2*0.0251</f>
        <v>34326754.02832479</v>
      </c>
      <c r="O2" s="17">
        <f>N2*I2</f>
        <v>31206140.02574981</v>
      </c>
    </row>
    <row r="3" spans="1:15">
      <c r="A3" s="2">
        <v>2</v>
      </c>
      <c r="B3" s="2">
        <v>18000000</v>
      </c>
      <c r="C3" s="2">
        <v>1.8959999999999999</v>
      </c>
      <c r="D3" s="2">
        <v>0.82</v>
      </c>
      <c r="E3" s="2">
        <v>1600</v>
      </c>
      <c r="F3" s="2">
        <f>IFERROR(B3*C3*IF(D3="", Parameters!$B$2, D3)/Parameters!$B$6, 0)</f>
        <v>899736.68558200845</v>
      </c>
      <c r="G3" s="13">
        <f>F3*IF(E3="", Parameters!$B$2, E3)</f>
        <v>1439578696.9312136</v>
      </c>
      <c r="H3" s="2">
        <f>G3*Parameters!$B$4</f>
        <v>37429046.120211549</v>
      </c>
      <c r="I3" s="2">
        <f>1/POWER(1+Parameters!$B$5, A3)</f>
        <v>0.82644628099173545</v>
      </c>
      <c r="J3" s="6">
        <f t="shared" si="0"/>
        <v>30933095.967116978</v>
      </c>
      <c r="K3" s="6">
        <f>SUM($G$2:G3)</f>
        <v>2879157393.8624272</v>
      </c>
      <c r="L3">
        <f t="shared" ref="L3:L33" si="1">F3*0.95</f>
        <v>854749.85130290803</v>
      </c>
      <c r="M3" s="14">
        <f>L3*IF(E3="",Parameters!$B$2,E3)</f>
        <v>1367599762.0846529</v>
      </c>
      <c r="N3" s="17">
        <f t="shared" ref="N3:N32" si="2">M3*0.0251</f>
        <v>34326754.02832479</v>
      </c>
      <c r="O3" s="17">
        <f t="shared" ref="O3:O24" si="3">N3*I3</f>
        <v>28369218.205227096</v>
      </c>
    </row>
    <row r="4" spans="1:15">
      <c r="A4" s="2">
        <v>3</v>
      </c>
      <c r="B4" s="2">
        <v>18000000</v>
      </c>
      <c r="C4" s="2">
        <v>1.8959999999999999</v>
      </c>
      <c r="D4" s="2">
        <v>0.82</v>
      </c>
      <c r="E4" s="2">
        <v>1600</v>
      </c>
      <c r="F4" s="2">
        <f>IFERROR(B4*C4*IF(D4="", Parameters!$B$2, D4)/Parameters!$B$6, 0)</f>
        <v>899736.68558200845</v>
      </c>
      <c r="G4" s="13">
        <f>F4*IF(E4="", Parameters!$B$2, E4)</f>
        <v>1439578696.9312136</v>
      </c>
      <c r="H4" s="2">
        <f>G4*Parameters!$B$4</f>
        <v>37429046.120211549</v>
      </c>
      <c r="I4" s="2">
        <f>1/POWER(1+Parameters!$B$5, A4)</f>
        <v>0.75131480090157754</v>
      </c>
      <c r="J4" s="6">
        <f t="shared" si="0"/>
        <v>28120996.333742704</v>
      </c>
      <c r="K4" s="6">
        <f>SUM($G$2:G4)</f>
        <v>4318736090.7936411</v>
      </c>
      <c r="L4">
        <f t="shared" si="1"/>
        <v>854749.85130290803</v>
      </c>
      <c r="M4" s="14">
        <f>L4*IF(E4="",Parameters!$B$2,E4)</f>
        <v>1367599762.0846529</v>
      </c>
      <c r="N4" s="17">
        <f t="shared" si="2"/>
        <v>34326754.02832479</v>
      </c>
      <c r="O4" s="17">
        <f t="shared" si="3"/>
        <v>25790198.368388265</v>
      </c>
    </row>
    <row r="5" spans="1:15">
      <c r="A5" s="2">
        <v>4</v>
      </c>
      <c r="B5" s="2">
        <v>18000000</v>
      </c>
      <c r="C5" s="2">
        <v>1.8959999999999999</v>
      </c>
      <c r="D5" s="2">
        <v>0.82</v>
      </c>
      <c r="E5" s="2">
        <v>1600</v>
      </c>
      <c r="F5" s="2">
        <f>IFERROR(B5*C5*IF(D5="", Parameters!$B$2, D5)/Parameters!$B$6, 0)</f>
        <v>899736.68558200845</v>
      </c>
      <c r="G5" s="13">
        <f>F5*IF(E5="", Parameters!$B$2, E5)</f>
        <v>1439578696.9312136</v>
      </c>
      <c r="H5" s="2">
        <f>G5*Parameters!$B$4</f>
        <v>37429046.120211549</v>
      </c>
      <c r="I5" s="2">
        <f>1/POWER(1+Parameters!$B$5, A5)</f>
        <v>0.68301345536507052</v>
      </c>
      <c r="J5" s="6">
        <f t="shared" si="0"/>
        <v>25564542.121584278</v>
      </c>
      <c r="K5" s="6">
        <f>SUM($G$2:G5)</f>
        <v>5758314787.7248545</v>
      </c>
      <c r="L5">
        <f t="shared" si="1"/>
        <v>854749.85130290803</v>
      </c>
      <c r="M5" s="14">
        <f>L5*IF(E5="",Parameters!$B$2,E5)</f>
        <v>1367599762.0846529</v>
      </c>
      <c r="N5" s="17">
        <f t="shared" si="2"/>
        <v>34326754.02832479</v>
      </c>
      <c r="O5" s="17">
        <f t="shared" si="3"/>
        <v>23445634.88035297</v>
      </c>
    </row>
    <row r="6" spans="1:15">
      <c r="A6" s="2">
        <v>5</v>
      </c>
      <c r="B6" s="2">
        <v>18000000</v>
      </c>
      <c r="C6" s="2">
        <v>1.8959999999999999</v>
      </c>
      <c r="D6" s="2">
        <v>0.82</v>
      </c>
      <c r="E6" s="2">
        <v>1600</v>
      </c>
      <c r="F6" s="2">
        <f>IFERROR(B6*C6*IF(D6="", Parameters!$B$2, D6)/Parameters!$B$6, 0)</f>
        <v>899736.68558200845</v>
      </c>
      <c r="G6" s="13">
        <f>F6*IF(E6="", Parameters!$B$2, E6)</f>
        <v>1439578696.9312136</v>
      </c>
      <c r="H6" s="2">
        <f>G6*Parameters!$B$4</f>
        <v>37429046.120211549</v>
      </c>
      <c r="I6" s="2">
        <f>1/POWER(1+Parameters!$B$5, A6)</f>
        <v>0.62092132305915493</v>
      </c>
      <c r="J6" s="6">
        <f t="shared" si="0"/>
        <v>23240492.837803885</v>
      </c>
      <c r="K6" s="6">
        <f>SUM($G$2:G6)</f>
        <v>7197893484.6560678</v>
      </c>
      <c r="L6">
        <f t="shared" si="1"/>
        <v>854749.85130290803</v>
      </c>
      <c r="M6" s="14">
        <f>L6*IF(E6="",Parameters!$B$2,E6)</f>
        <v>1367599762.0846529</v>
      </c>
      <c r="N6" s="17">
        <f t="shared" si="2"/>
        <v>34326754.02832479</v>
      </c>
      <c r="O6" s="17">
        <f t="shared" si="3"/>
        <v>21314213.527593605</v>
      </c>
    </row>
    <row r="7" spans="1:15">
      <c r="A7" s="2">
        <v>6</v>
      </c>
      <c r="B7" s="2">
        <v>18000000</v>
      </c>
      <c r="C7" s="2">
        <v>1.8959999999999999</v>
      </c>
      <c r="D7" s="2">
        <v>0.82</v>
      </c>
      <c r="E7" s="2">
        <v>1600</v>
      </c>
      <c r="F7" s="2">
        <f>IFERROR(B7*C7*IF(D7="", Parameters!$B$2, D7)/Parameters!$B$6, 0)</f>
        <v>899736.68558200845</v>
      </c>
      <c r="G7" s="13">
        <f>F7*IF(E7="", Parameters!$B$2, E7)</f>
        <v>1439578696.9312136</v>
      </c>
      <c r="H7" s="2">
        <f>G7*Parameters!$B$4</f>
        <v>37429046.120211549</v>
      </c>
      <c r="I7" s="2">
        <f>1/POWER(1+Parameters!$B$5, A7)</f>
        <v>0.56447393005377722</v>
      </c>
      <c r="J7" s="6">
        <f t="shared" si="0"/>
        <v>21127720.761639897</v>
      </c>
      <c r="K7" s="6">
        <f>SUM($G$2:G7)</f>
        <v>8637472181.5872822</v>
      </c>
      <c r="L7">
        <f t="shared" si="1"/>
        <v>854749.85130290803</v>
      </c>
      <c r="M7" s="14">
        <f>L7*IF(E7="",Parameters!$B$2,E7)</f>
        <v>1367599762.0846529</v>
      </c>
      <c r="N7" s="17">
        <f t="shared" si="2"/>
        <v>34326754.02832479</v>
      </c>
      <c r="O7" s="17">
        <f t="shared" si="3"/>
        <v>19376557.752357822</v>
      </c>
    </row>
    <row r="8" spans="1:15">
      <c r="A8" s="2">
        <v>7</v>
      </c>
      <c r="B8" s="2">
        <v>18000000</v>
      </c>
      <c r="C8" s="2">
        <v>1.8959999999999999</v>
      </c>
      <c r="D8" s="2">
        <v>0.82</v>
      </c>
      <c r="E8" s="2">
        <v>1600</v>
      </c>
      <c r="F8" s="2">
        <f>IFERROR(B8*C8*IF(D8="", Parameters!$B$2, D8)/Parameters!$B$6, 0)</f>
        <v>899736.68558200845</v>
      </c>
      <c r="G8" s="13">
        <f>F8*IF(E8="", Parameters!$B$2, E8)</f>
        <v>1439578696.9312136</v>
      </c>
      <c r="H8" s="2">
        <f>G8*Parameters!$B$4</f>
        <v>37429046.120211549</v>
      </c>
      <c r="I8" s="2">
        <f>1/POWER(1+Parameters!$B$5, A8)</f>
        <v>0.51315811823070645</v>
      </c>
      <c r="J8" s="6">
        <f t="shared" si="0"/>
        <v>19207018.874218084</v>
      </c>
      <c r="K8" s="6">
        <f>SUM($G$2:G8)</f>
        <v>10077050878.518496</v>
      </c>
      <c r="L8">
        <f t="shared" si="1"/>
        <v>854749.85130290803</v>
      </c>
      <c r="M8" s="14">
        <f>L8*IF(E8="",Parameters!$B$2,E8)</f>
        <v>1367599762.0846529</v>
      </c>
      <c r="N8" s="17">
        <f t="shared" si="2"/>
        <v>34326754.02832479</v>
      </c>
      <c r="O8" s="17">
        <f t="shared" si="3"/>
        <v>17615052.502143472</v>
      </c>
    </row>
    <row r="9" spans="1:15">
      <c r="A9" s="2">
        <v>8</v>
      </c>
      <c r="B9" s="2">
        <v>18000000</v>
      </c>
      <c r="C9" s="2">
        <v>1.8959999999999999</v>
      </c>
      <c r="D9" s="2">
        <v>0.82</v>
      </c>
      <c r="E9" s="2">
        <v>1600</v>
      </c>
      <c r="F9" s="2">
        <f>IFERROR(B9*C9*IF(D9="", Parameters!$B$2, D9)/Parameters!$B$6, 0)</f>
        <v>899736.68558200845</v>
      </c>
      <c r="G9" s="13">
        <f>F9*IF(E9="", Parameters!$B$2, E9)</f>
        <v>1439578696.9312136</v>
      </c>
      <c r="H9" s="2">
        <f>G9*Parameters!$B$4</f>
        <v>37429046.120211549</v>
      </c>
      <c r="I9" s="2">
        <f>1/POWER(1+Parameters!$B$5, A9)</f>
        <v>0.46650738020973315</v>
      </c>
      <c r="J9" s="6">
        <f t="shared" si="0"/>
        <v>17460926.249289166</v>
      </c>
      <c r="K9" s="6">
        <f>SUM($G$2:G9)</f>
        <v>11516629575.449709</v>
      </c>
      <c r="L9">
        <f t="shared" si="1"/>
        <v>854749.85130290803</v>
      </c>
      <c r="M9" s="14">
        <f>L9*IF(E9="",Parameters!$B$2,E9)</f>
        <v>1367599762.0846529</v>
      </c>
      <c r="N9" s="17">
        <f t="shared" si="2"/>
        <v>34326754.02832479</v>
      </c>
      <c r="O9" s="17">
        <f t="shared" si="3"/>
        <v>16013684.092857702</v>
      </c>
    </row>
    <row r="10" spans="1:15">
      <c r="A10" s="2">
        <v>9</v>
      </c>
      <c r="B10" s="2">
        <v>18000000</v>
      </c>
      <c r="C10" s="2">
        <v>1.8959999999999999</v>
      </c>
      <c r="D10" s="2">
        <v>0.82</v>
      </c>
      <c r="E10" s="2">
        <v>1600</v>
      </c>
      <c r="F10" s="2">
        <f>IFERROR(B10*C10*IF(D10="", Parameters!$B$2, D10)/Parameters!$B$6, 0)</f>
        <v>899736.68558200845</v>
      </c>
      <c r="G10" s="13">
        <f>F10*IF(E10="", Parameters!$B$2, E10)</f>
        <v>1439578696.9312136</v>
      </c>
      <c r="H10" s="2">
        <f>G10*Parameters!$B$4</f>
        <v>37429046.120211549</v>
      </c>
      <c r="I10" s="2">
        <f>1/POWER(1+Parameters!$B$5, A10)</f>
        <v>0.42409761837248466</v>
      </c>
      <c r="J10" s="6">
        <f t="shared" si="0"/>
        <v>15873569.317535605</v>
      </c>
      <c r="K10" s="6">
        <f>SUM($G$2:G10)</f>
        <v>12956208272.380922</v>
      </c>
      <c r="L10">
        <f t="shared" si="1"/>
        <v>854749.85130290803</v>
      </c>
      <c r="M10" s="14">
        <f>L10*IF(E10="",Parameters!$B$2,E10)</f>
        <v>1367599762.0846529</v>
      </c>
      <c r="N10" s="17">
        <f t="shared" si="2"/>
        <v>34326754.02832479</v>
      </c>
      <c r="O10" s="17">
        <f t="shared" si="3"/>
        <v>14557894.629870638</v>
      </c>
    </row>
    <row r="11" spans="1:15">
      <c r="A11" s="2">
        <v>10</v>
      </c>
      <c r="B11" s="2">
        <v>18000000</v>
      </c>
      <c r="C11" s="2">
        <v>1.8959999999999999</v>
      </c>
      <c r="D11" s="2">
        <v>0.82</v>
      </c>
      <c r="E11" s="2">
        <v>1600</v>
      </c>
      <c r="F11" s="2">
        <f>IFERROR(B11*C11*IF(D11="", Parameters!$B$2, D11)/Parameters!$B$6, 0)</f>
        <v>899736.68558200845</v>
      </c>
      <c r="G11" s="13">
        <f>F11*IF(E11="", Parameters!$B$2, E11)</f>
        <v>1439578696.9312136</v>
      </c>
      <c r="H11" s="2">
        <f>G11*Parameters!$B$4</f>
        <v>37429046.120211549</v>
      </c>
      <c r="I11" s="2">
        <f>1/POWER(1+Parameters!$B$5, A11)</f>
        <v>0.38554328942953148</v>
      </c>
      <c r="J11" s="6">
        <f t="shared" si="0"/>
        <v>14430517.561396003</v>
      </c>
      <c r="K11" s="6">
        <f>SUM($G$2:G11)</f>
        <v>14395786969.312136</v>
      </c>
      <c r="L11">
        <f t="shared" si="1"/>
        <v>854749.85130290803</v>
      </c>
      <c r="M11" s="14">
        <f>L11*IF(E11="",Parameters!$B$2,E11)</f>
        <v>1367599762.0846529</v>
      </c>
      <c r="N11" s="17">
        <f t="shared" si="2"/>
        <v>34326754.02832479</v>
      </c>
      <c r="O11" s="17">
        <f t="shared" si="3"/>
        <v>13234449.66351876</v>
      </c>
    </row>
    <row r="12" spans="1:15">
      <c r="A12" s="2">
        <v>11</v>
      </c>
      <c r="B12" s="2">
        <v>18000000</v>
      </c>
      <c r="C12" s="2">
        <v>1.8959999999999999</v>
      </c>
      <c r="D12" s="2">
        <v>0.82</v>
      </c>
      <c r="E12" s="2">
        <v>1600</v>
      </c>
      <c r="F12" s="2">
        <f>IFERROR(B12*C12*IF(D12="", Parameters!$B$2, D12)/Parameters!$B$6, 0)</f>
        <v>899736.68558200845</v>
      </c>
      <c r="G12" s="13">
        <f>F12*IF(E12="", Parameters!$B$2, E12)</f>
        <v>1439578696.9312136</v>
      </c>
      <c r="H12" s="2">
        <f>G12*Parameters!$B$4</f>
        <v>37429046.120211549</v>
      </c>
      <c r="I12" s="2">
        <f>1/POWER(1+Parameters!$B$5, A12)</f>
        <v>0.3504938994813922</v>
      </c>
      <c r="J12" s="6">
        <f t="shared" si="0"/>
        <v>13118652.328541819</v>
      </c>
      <c r="K12" s="6">
        <f>SUM($G$2:G12)</f>
        <v>15835365666.243349</v>
      </c>
      <c r="L12">
        <f t="shared" si="1"/>
        <v>854749.85130290803</v>
      </c>
      <c r="M12" s="14">
        <f>L12*IF(E12="",Parameters!$B$2,E12)</f>
        <v>1367599762.0846529</v>
      </c>
      <c r="N12" s="17">
        <f t="shared" si="2"/>
        <v>34326754.02832479</v>
      </c>
      <c r="O12" s="17">
        <f t="shared" si="3"/>
        <v>12031317.875926144</v>
      </c>
    </row>
    <row r="13" spans="1:15">
      <c r="A13" s="2">
        <v>12</v>
      </c>
      <c r="B13" s="2">
        <v>18000000</v>
      </c>
      <c r="C13" s="2">
        <v>1.8959999999999999</v>
      </c>
      <c r="D13" s="2">
        <v>0.82</v>
      </c>
      <c r="E13" s="2">
        <v>1600</v>
      </c>
      <c r="F13" s="2">
        <f>IFERROR(B13*C13*IF(D13="", Parameters!$B$2, D13)/Parameters!$B$6, 0)</f>
        <v>899736.68558200845</v>
      </c>
      <c r="G13" s="13">
        <f>F13*IF(E13="", Parameters!$B$2, E13)</f>
        <v>1439578696.9312136</v>
      </c>
      <c r="H13" s="2">
        <f>G13*Parameters!$B$4</f>
        <v>37429046.120211549</v>
      </c>
      <c r="I13" s="2">
        <f>1/POWER(1+Parameters!$B$5, A13)</f>
        <v>0.31863081771035656</v>
      </c>
      <c r="J13" s="6">
        <f t="shared" si="0"/>
        <v>11926047.571401654</v>
      </c>
      <c r="K13" s="6">
        <f>SUM($G$2:G13)</f>
        <v>17274944363.174564</v>
      </c>
      <c r="L13">
        <f t="shared" si="1"/>
        <v>854749.85130290803</v>
      </c>
      <c r="M13" s="14">
        <f>L13*IF(E13="",Parameters!$B$2,E13)</f>
        <v>1367599762.0846529</v>
      </c>
      <c r="N13" s="17">
        <f t="shared" si="2"/>
        <v>34326754.02832479</v>
      </c>
      <c r="O13" s="17">
        <f t="shared" si="3"/>
        <v>10937561.705387404</v>
      </c>
    </row>
    <row r="14" spans="1:15">
      <c r="A14" s="2">
        <v>13</v>
      </c>
      <c r="B14" s="2">
        <v>18000000</v>
      </c>
      <c r="C14" s="2">
        <v>1.8959999999999999</v>
      </c>
      <c r="D14" s="2">
        <v>0.82</v>
      </c>
      <c r="E14" s="2">
        <v>1600</v>
      </c>
      <c r="F14" s="2">
        <f>IFERROR(B14*C14*IF(D14="", Parameters!$B$2, D14)/Parameters!$B$6, 0)</f>
        <v>899736.68558200845</v>
      </c>
      <c r="G14" s="13">
        <f>F14*IF(E14="", Parameters!$B$2, E14)</f>
        <v>1439578696.9312136</v>
      </c>
      <c r="H14" s="2">
        <f>G14*Parameters!$B$4</f>
        <v>37429046.120211549</v>
      </c>
      <c r="I14" s="2">
        <f>1/POWER(1+Parameters!$B$5, A14)</f>
        <v>0.28966437973668779</v>
      </c>
      <c r="J14" s="6">
        <f t="shared" si="0"/>
        <v>10841861.42854696</v>
      </c>
      <c r="K14" s="6">
        <f>SUM($G$2:G14)</f>
        <v>18714523060.105778</v>
      </c>
      <c r="L14">
        <f t="shared" si="1"/>
        <v>854749.85130290803</v>
      </c>
      <c r="M14" s="14">
        <f>L14*IF(E14="",Parameters!$B$2,E14)</f>
        <v>1367599762.0846529</v>
      </c>
      <c r="N14" s="17">
        <f t="shared" si="2"/>
        <v>34326754.02832479</v>
      </c>
      <c r="O14" s="17">
        <f t="shared" si="3"/>
        <v>9943237.9139885493</v>
      </c>
    </row>
    <row r="15" spans="1:15">
      <c r="A15" s="2">
        <v>14</v>
      </c>
      <c r="B15" s="2">
        <v>18000000</v>
      </c>
      <c r="C15" s="2">
        <v>1.8959999999999999</v>
      </c>
      <c r="D15" s="2">
        <v>0.82</v>
      </c>
      <c r="E15" s="2">
        <v>1600</v>
      </c>
      <c r="F15" s="2">
        <f>IFERROR(B15*C15*IF(D15="", Parameters!$B$2, D15)/Parameters!$B$6, 0)</f>
        <v>899736.68558200845</v>
      </c>
      <c r="G15" s="13">
        <f>F15*IF(E15="", Parameters!$B$2, E15)</f>
        <v>1439578696.9312136</v>
      </c>
      <c r="H15" s="2">
        <f>G15*Parameters!$B$4</f>
        <v>37429046.120211549</v>
      </c>
      <c r="I15" s="2">
        <f>1/POWER(1+Parameters!$B$5, A15)</f>
        <v>0.26333125430607973</v>
      </c>
      <c r="J15" s="6">
        <f t="shared" si="0"/>
        <v>9856237.6623154152</v>
      </c>
      <c r="K15" s="6">
        <f>SUM($G$2:G15)</f>
        <v>20154101757.036991</v>
      </c>
      <c r="L15">
        <f t="shared" si="1"/>
        <v>854749.85130290803</v>
      </c>
      <c r="M15" s="14">
        <f>L15*IF(E15="",Parameters!$B$2,E15)</f>
        <v>1367599762.0846529</v>
      </c>
      <c r="N15" s="17">
        <f t="shared" si="2"/>
        <v>34326754.02832479</v>
      </c>
      <c r="O15" s="17">
        <f t="shared" si="3"/>
        <v>9039307.1945350431</v>
      </c>
    </row>
    <row r="16" spans="1:15">
      <c r="A16" s="2">
        <v>15</v>
      </c>
      <c r="B16" s="2">
        <v>18000000</v>
      </c>
      <c r="C16" s="2">
        <v>1.8959999999999999</v>
      </c>
      <c r="D16" s="2">
        <v>0.82</v>
      </c>
      <c r="E16" s="2">
        <v>1600</v>
      </c>
      <c r="F16" s="2">
        <f>IFERROR(B16*C16*IF(D16="", Parameters!$B$2, D16)/Parameters!$B$6, 0)</f>
        <v>899736.68558200845</v>
      </c>
      <c r="G16" s="13">
        <f>F16*IF(E16="", Parameters!$B$2, E16)</f>
        <v>1439578696.9312136</v>
      </c>
      <c r="H16" s="2">
        <f>G16*Parameters!$B$4</f>
        <v>37429046.120211549</v>
      </c>
      <c r="I16" s="2">
        <f>1/POWER(1+Parameters!$B$5, A16)</f>
        <v>0.23939204936916339</v>
      </c>
      <c r="J16" s="6">
        <f t="shared" si="0"/>
        <v>8960216.0566503759</v>
      </c>
      <c r="K16" s="6">
        <f>SUM($G$2:G16)</f>
        <v>21593680453.968204</v>
      </c>
      <c r="L16">
        <f t="shared" si="1"/>
        <v>854749.85130290803</v>
      </c>
      <c r="M16" s="14">
        <f>L16*IF(E16="",Parameters!$B$2,E16)</f>
        <v>1367599762.0846529</v>
      </c>
      <c r="N16" s="17">
        <f t="shared" si="2"/>
        <v>34326754.02832479</v>
      </c>
      <c r="O16" s="17">
        <f t="shared" si="3"/>
        <v>8217551.9950318569</v>
      </c>
    </row>
    <row r="17" spans="1:15">
      <c r="A17" s="2">
        <v>16</v>
      </c>
      <c r="B17" s="2">
        <v>18000000</v>
      </c>
      <c r="C17" s="2">
        <v>1.8959999999999999</v>
      </c>
      <c r="D17" s="2">
        <v>0.82</v>
      </c>
      <c r="E17" s="2">
        <v>1600</v>
      </c>
      <c r="F17" s="2">
        <f>IFERROR(B17*C17*IF(D17="", Parameters!$B$2, D17)/Parameters!$B$6, 0)</f>
        <v>899736.68558200845</v>
      </c>
      <c r="G17" s="13">
        <f>F17*IF(E17="", Parameters!$B$2, E17)</f>
        <v>1439578696.9312136</v>
      </c>
      <c r="H17" s="2">
        <f>G17*Parameters!$B$4</f>
        <v>37429046.120211549</v>
      </c>
      <c r="I17" s="2">
        <f>1/POWER(1+Parameters!$B$5, A17)</f>
        <v>0.21762913579014853</v>
      </c>
      <c r="J17" s="6">
        <f t="shared" si="0"/>
        <v>8145650.960591251</v>
      </c>
      <c r="K17" s="6">
        <f>SUM($G$2:G17)</f>
        <v>23033259150.899418</v>
      </c>
      <c r="L17">
        <f t="shared" si="1"/>
        <v>854749.85130290803</v>
      </c>
      <c r="M17" s="14">
        <f>L17*IF(E17="",Parameters!$B$2,E17)</f>
        <v>1367599762.0846529</v>
      </c>
      <c r="N17" s="17">
        <f t="shared" si="2"/>
        <v>34326754.02832479</v>
      </c>
      <c r="O17" s="17">
        <f t="shared" si="3"/>
        <v>7470501.8136653239</v>
      </c>
    </row>
    <row r="18" spans="1:15">
      <c r="A18" s="2">
        <v>17</v>
      </c>
      <c r="B18" s="2">
        <v>18000000</v>
      </c>
      <c r="C18" s="2">
        <v>1.8959999999999999</v>
      </c>
      <c r="D18" s="2">
        <v>0.82</v>
      </c>
      <c r="E18" s="2">
        <v>1600</v>
      </c>
      <c r="F18" s="2">
        <f>IFERROR(B18*C18*IF(D18="", Parameters!$B$2, D18)/Parameters!$B$6, 0)</f>
        <v>899736.68558200845</v>
      </c>
      <c r="G18" s="13">
        <f>F18*IF(E18="", Parameters!$B$2, E18)</f>
        <v>1439578696.9312136</v>
      </c>
      <c r="H18" s="2">
        <f>G18*Parameters!$B$4</f>
        <v>37429046.120211549</v>
      </c>
      <c r="I18" s="2">
        <f>1/POWER(1+Parameters!$B$5, A18)</f>
        <v>0.19784466890013502</v>
      </c>
      <c r="J18" s="6">
        <f t="shared" si="0"/>
        <v>7405137.236901137</v>
      </c>
      <c r="K18" s="6">
        <f>SUM($G$2:G18)</f>
        <v>24472837847.830631</v>
      </c>
      <c r="L18">
        <f t="shared" si="1"/>
        <v>854749.85130290803</v>
      </c>
      <c r="M18" s="14">
        <f>L18*IF(E18="",Parameters!$B$2,E18)</f>
        <v>1367599762.0846529</v>
      </c>
      <c r="N18" s="17">
        <f t="shared" si="2"/>
        <v>34326754.02832479</v>
      </c>
      <c r="O18" s="17">
        <f t="shared" si="3"/>
        <v>6791365.2851502942</v>
      </c>
    </row>
    <row r="19" spans="1:15">
      <c r="A19" s="2">
        <v>18</v>
      </c>
      <c r="B19" s="2">
        <v>18000000</v>
      </c>
      <c r="C19" s="2">
        <v>1.8959999999999999</v>
      </c>
      <c r="D19" s="2">
        <v>0.82</v>
      </c>
      <c r="E19" s="2">
        <v>1600</v>
      </c>
      <c r="F19" s="2">
        <f>IFERROR(B19*C19*IF(D19="", Parameters!$B$2, D19)/Parameters!$B$6, 0)</f>
        <v>899736.68558200845</v>
      </c>
      <c r="G19" s="13">
        <f>F19*IF(E19="", Parameters!$B$2, E19)</f>
        <v>1439578696.9312136</v>
      </c>
      <c r="H19" s="2">
        <f>G19*Parameters!$B$4</f>
        <v>37429046.120211549</v>
      </c>
      <c r="I19" s="2">
        <f>1/POWER(1+Parameters!$B$5, A19)</f>
        <v>0.17985878990921364</v>
      </c>
      <c r="J19" s="6">
        <f t="shared" si="0"/>
        <v>6731942.942637397</v>
      </c>
      <c r="K19" s="6">
        <f>SUM($G$2:G19)</f>
        <v>25912416544.761845</v>
      </c>
      <c r="L19">
        <f t="shared" si="1"/>
        <v>854749.85130290803</v>
      </c>
      <c r="M19" s="14">
        <f>L19*IF(E19="",Parameters!$B$2,E19)</f>
        <v>1367599762.0846529</v>
      </c>
      <c r="N19" s="17">
        <f t="shared" si="2"/>
        <v>34326754.02832479</v>
      </c>
      <c r="O19" s="17">
        <f t="shared" si="3"/>
        <v>6173968.4410457211</v>
      </c>
    </row>
    <row r="20" spans="1:15">
      <c r="A20" s="2">
        <v>19</v>
      </c>
      <c r="B20" s="2">
        <v>18000000</v>
      </c>
      <c r="C20" s="2">
        <v>1.8959999999999999</v>
      </c>
      <c r="D20" s="2">
        <v>0.82</v>
      </c>
      <c r="E20" s="2">
        <v>1600</v>
      </c>
      <c r="F20" s="2">
        <f>IFERROR(B20*C20*IF(D20="", Parameters!$B$2, D20)/Parameters!$B$6, 0)</f>
        <v>899736.68558200845</v>
      </c>
      <c r="G20" s="13">
        <f>F20*IF(E20="", Parameters!$B$2, E20)</f>
        <v>1439578696.9312136</v>
      </c>
      <c r="H20" s="2">
        <f>G20*Parameters!$B$4</f>
        <v>37429046.120211549</v>
      </c>
      <c r="I20" s="2">
        <f>1/POWER(1+Parameters!$B$5, A20)</f>
        <v>0.16350799082655781</v>
      </c>
      <c r="J20" s="6">
        <f t="shared" si="0"/>
        <v>6119948.1296703592</v>
      </c>
      <c r="K20" s="6">
        <f>SUM($G$2:G20)</f>
        <v>27351995241.693058</v>
      </c>
      <c r="L20">
        <f t="shared" si="1"/>
        <v>854749.85130290803</v>
      </c>
      <c r="M20" s="14">
        <f>L20*IF(E20="",Parameters!$B$2,E20)</f>
        <v>1367599762.0846529</v>
      </c>
      <c r="N20" s="17">
        <f t="shared" si="2"/>
        <v>34326754.02832479</v>
      </c>
      <c r="O20" s="17">
        <f t="shared" si="3"/>
        <v>5612698.5827688361</v>
      </c>
    </row>
    <row r="21" spans="1:15">
      <c r="A21" s="2">
        <v>20</v>
      </c>
      <c r="B21" s="2">
        <v>18000000</v>
      </c>
      <c r="C21" s="2">
        <v>1.8959999999999999</v>
      </c>
      <c r="D21" s="2">
        <v>0.82</v>
      </c>
      <c r="E21" s="2">
        <v>1600</v>
      </c>
      <c r="F21" s="2">
        <f>IFERROR(B21*C21*IF(D21="", Parameters!$B$2, D21)/Parameters!$B$6, 0)</f>
        <v>899736.68558200845</v>
      </c>
      <c r="G21" s="13">
        <f>F21*IF(E21="", Parameters!$B$2, E21)</f>
        <v>1439578696.9312136</v>
      </c>
      <c r="H21" s="2">
        <f>G21*Parameters!$B$4</f>
        <v>37429046.120211549</v>
      </c>
      <c r="I21" s="2">
        <f>1/POWER(1+Parameters!$B$5, A21)</f>
        <v>0.14864362802414349</v>
      </c>
      <c r="J21" s="6">
        <f t="shared" si="0"/>
        <v>5563589.2087912364</v>
      </c>
      <c r="K21" s="6">
        <f>SUM($G$2:G21)</f>
        <v>28791573938.624271</v>
      </c>
      <c r="L21">
        <f t="shared" si="1"/>
        <v>854749.85130290803</v>
      </c>
      <c r="M21" s="14">
        <f>L21*IF(E21="",Parameters!$B$2,E21)</f>
        <v>1367599762.0846529</v>
      </c>
      <c r="N21" s="17">
        <f t="shared" si="2"/>
        <v>34326754.02832479</v>
      </c>
      <c r="O21" s="17">
        <f t="shared" si="3"/>
        <v>5102453.2570625795</v>
      </c>
    </row>
    <row r="22" spans="1:15">
      <c r="A22" s="2">
        <v>21</v>
      </c>
      <c r="B22" s="2">
        <v>18000000</v>
      </c>
      <c r="C22" s="2">
        <v>1.8959999999999999</v>
      </c>
      <c r="D22" s="2">
        <v>0.82</v>
      </c>
      <c r="E22" s="2">
        <v>1600</v>
      </c>
      <c r="F22" s="2">
        <f>IFERROR(B22*C22*IF(D22="", Parameters!$B$2, D22)/Parameters!$B$6, 0)</f>
        <v>899736.68558200845</v>
      </c>
      <c r="G22" s="13">
        <f>F22*IF(E22="", Parameters!$B$2, E22)</f>
        <v>1439578696.9312136</v>
      </c>
      <c r="H22" s="2">
        <f>G22*Parameters!$B$4</f>
        <v>37429046.120211549</v>
      </c>
      <c r="I22" s="2">
        <f>1/POWER(1+Parameters!$B$5, A22)</f>
        <v>0.13513057093103953</v>
      </c>
      <c r="J22" s="6">
        <f t="shared" si="0"/>
        <v>5057808.3716283962</v>
      </c>
      <c r="K22" s="6">
        <f>SUM($G$2:G22)</f>
        <v>30231152635.555485</v>
      </c>
      <c r="L22">
        <f t="shared" si="1"/>
        <v>854749.85130290803</v>
      </c>
      <c r="M22" s="14">
        <f>L22*IF(E22="",Parameters!$B$2,E22)</f>
        <v>1367599762.0846529</v>
      </c>
      <c r="N22" s="17">
        <f t="shared" si="2"/>
        <v>34326754.02832479</v>
      </c>
      <c r="O22" s="17">
        <f t="shared" si="3"/>
        <v>4638593.87005689</v>
      </c>
    </row>
    <row r="23" spans="1:15">
      <c r="A23" s="2">
        <v>22</v>
      </c>
      <c r="B23" s="2">
        <v>18000000</v>
      </c>
      <c r="C23" s="2">
        <v>1.8959999999999999</v>
      </c>
      <c r="D23" s="2">
        <v>0.82</v>
      </c>
      <c r="E23" s="2">
        <v>1600</v>
      </c>
      <c r="F23" s="2">
        <f>IFERROR(B23*C23*IF(D23="", Parameters!$B$2, D23)/Parameters!$B$6, 0)</f>
        <v>899736.68558200845</v>
      </c>
      <c r="G23" s="13">
        <f>F23*IF(E23="", Parameters!$B$2, E23)</f>
        <v>1439578696.9312136</v>
      </c>
      <c r="H23" s="2">
        <f>G23*Parameters!$B$4</f>
        <v>37429046.120211549</v>
      </c>
      <c r="I23" s="2">
        <f>1/POWER(1+Parameters!$B$5, A23)</f>
        <v>0.12284597357367227</v>
      </c>
      <c r="J23" s="6">
        <f t="shared" si="0"/>
        <v>4598007.6105712689</v>
      </c>
      <c r="K23" s="6">
        <f>SUM($G$2:G23)</f>
        <v>31670731332.486698</v>
      </c>
      <c r="L23">
        <f t="shared" si="1"/>
        <v>854749.85130290803</v>
      </c>
      <c r="M23" s="14">
        <f>L23*IF(E23="",Parameters!$B$2,E23)</f>
        <v>1367599762.0846529</v>
      </c>
      <c r="N23" s="17">
        <f t="shared" si="2"/>
        <v>34326754.02832479</v>
      </c>
      <c r="O23" s="17">
        <f t="shared" si="3"/>
        <v>4216903.5182335358</v>
      </c>
    </row>
    <row r="24" spans="1:15">
      <c r="A24" s="2">
        <v>23</v>
      </c>
      <c r="B24" s="2">
        <v>18000000</v>
      </c>
      <c r="C24" s="2">
        <v>1.8959999999999999</v>
      </c>
      <c r="D24" s="2">
        <v>0.82</v>
      </c>
      <c r="E24" s="2">
        <v>1600</v>
      </c>
      <c r="F24" s="2">
        <f>IFERROR(B24*C24*IF(D24="", Parameters!$B$2, D24)/Parameters!$B$6, 0)</f>
        <v>899736.68558200845</v>
      </c>
      <c r="G24" s="13">
        <f>F24*IF(E24="", Parameters!$B$2, E24)</f>
        <v>1439578696.9312136</v>
      </c>
      <c r="H24" s="2">
        <f>G24*Parameters!$B$4</f>
        <v>37429046.120211549</v>
      </c>
      <c r="I24" s="2">
        <f>1/POWER(1+Parameters!$B$5, A24)</f>
        <v>0.11167815779424752</v>
      </c>
      <c r="J24" s="6">
        <f t="shared" si="0"/>
        <v>4180006.9187011532</v>
      </c>
      <c r="K24" s="6">
        <f>SUM($G$2:G24)</f>
        <v>33110310029.417912</v>
      </c>
      <c r="L24">
        <f t="shared" si="1"/>
        <v>854749.85130290803</v>
      </c>
      <c r="M24" s="14">
        <f>L24*IF(E24="",Parameters!$B$2,E24)</f>
        <v>1367599762.0846529</v>
      </c>
      <c r="N24" s="17">
        <f t="shared" si="2"/>
        <v>34326754.02832479</v>
      </c>
      <c r="O24" s="17">
        <f t="shared" si="3"/>
        <v>3833548.6529395776</v>
      </c>
    </row>
    <row r="25" spans="1:15">
      <c r="A25" s="2">
        <v>24</v>
      </c>
      <c r="B25" s="2">
        <v>18000000</v>
      </c>
      <c r="C25" s="2">
        <v>1.8959999999999999</v>
      </c>
      <c r="D25" s="2">
        <v>0.82</v>
      </c>
      <c r="E25" s="2">
        <v>1600</v>
      </c>
      <c r="F25" s="2">
        <f>IFERROR(B25*C25*IF(D25="", Parameters!$B$2, D25)/Parameters!$B$6, 0)</f>
        <v>899736.68558200845</v>
      </c>
      <c r="G25" s="13">
        <f>F25*IF(E25="", Parameters!$B$2, E25)</f>
        <v>1439578696.9312136</v>
      </c>
      <c r="H25" s="2">
        <f>G25*Parameters!$B$4</f>
        <v>37429046.120211549</v>
      </c>
      <c r="I25" s="2">
        <f>1/POWER(1+Parameters!$B$5, A25)</f>
        <v>0.10152559799477048</v>
      </c>
      <c r="J25" s="6">
        <f t="shared" si="0"/>
        <v>3800006.2897283216</v>
      </c>
      <c r="K25" s="6">
        <f>SUM($G$2:G25)</f>
        <v>34549888726.349129</v>
      </c>
      <c r="L25">
        <f t="shared" ref="L25:L32" si="4">F25*0.95</f>
        <v>854749.85130290803</v>
      </c>
      <c r="M25" s="14">
        <f>L25*IF(E25="",Parameters!$B$2,E25)</f>
        <v>1367599762.0846529</v>
      </c>
      <c r="N25" s="17">
        <f t="shared" si="2"/>
        <v>34326754.02832479</v>
      </c>
      <c r="O25" s="17">
        <f t="shared" ref="O25:O32" si="5">N25*I25</f>
        <v>3485044.229945071</v>
      </c>
    </row>
    <row r="26" spans="1:15">
      <c r="A26" s="2">
        <v>25</v>
      </c>
      <c r="B26" s="2">
        <v>18000000</v>
      </c>
      <c r="C26" s="2">
        <v>1.8959999999999999</v>
      </c>
      <c r="D26" s="2">
        <v>0.82</v>
      </c>
      <c r="E26" s="2">
        <v>1600</v>
      </c>
      <c r="F26" s="2">
        <f>IFERROR(B26*C26*IF(D26="", Parameters!$B$2, D26)/Parameters!$B$6, 0)</f>
        <v>899736.68558200845</v>
      </c>
      <c r="G26" s="13">
        <f>F26*IF(E26="", Parameters!$B$2, E26)</f>
        <v>1439578696.9312136</v>
      </c>
      <c r="H26" s="2">
        <f>G26*Parameters!$B$4</f>
        <v>37429046.120211549</v>
      </c>
      <c r="I26" s="2">
        <f>1/POWER(1+Parameters!$B$5, A26)</f>
        <v>9.2295998177064048E-2</v>
      </c>
      <c r="J26" s="6">
        <f t="shared" si="0"/>
        <v>3454551.1724802912</v>
      </c>
      <c r="K26" s="6">
        <f>SUM($G$2:G26)</f>
        <v>35989467423.280342</v>
      </c>
      <c r="L26">
        <f t="shared" si="4"/>
        <v>854749.85130290803</v>
      </c>
      <c r="M26" s="14">
        <f>L26*IF(E26="",Parameters!$B$2,E26)</f>
        <v>1367599762.0846529</v>
      </c>
      <c r="N26" s="17">
        <f t="shared" si="2"/>
        <v>34326754.02832479</v>
      </c>
      <c r="O26" s="17">
        <f t="shared" si="5"/>
        <v>3168222.0272227908</v>
      </c>
    </row>
    <row r="27" spans="1:15">
      <c r="A27" s="2">
        <v>26</v>
      </c>
      <c r="B27" s="2">
        <v>18000000</v>
      </c>
      <c r="C27" s="2">
        <v>1.8959999999999999</v>
      </c>
      <c r="D27" s="2">
        <v>0.82</v>
      </c>
      <c r="E27" s="2">
        <v>1600</v>
      </c>
      <c r="F27" s="2">
        <f>IFERROR(B27*C27*IF(D27="", Parameters!$B$2, D27)/Parameters!$B$6, 0)</f>
        <v>899736.68558200845</v>
      </c>
      <c r="G27" s="13">
        <f>F27*IF(E27="", Parameters!$B$2, E27)</f>
        <v>1439578696.9312136</v>
      </c>
      <c r="H27" s="2">
        <f>G27*Parameters!$B$4</f>
        <v>37429046.120211549</v>
      </c>
      <c r="I27" s="2">
        <f>1/POWER(1+Parameters!$B$5, A27)</f>
        <v>8.3905452888240042E-2</v>
      </c>
      <c r="J27" s="6">
        <f t="shared" si="0"/>
        <v>3140501.0658911737</v>
      </c>
      <c r="K27" s="6">
        <f>SUM($G$2:G27)</f>
        <v>37429046120.211555</v>
      </c>
      <c r="L27">
        <f t="shared" si="4"/>
        <v>854749.85130290803</v>
      </c>
      <c r="M27" s="14">
        <f>L27*IF(E27="",Parameters!$B$2,E27)</f>
        <v>1367599762.0846529</v>
      </c>
      <c r="N27" s="17">
        <f t="shared" si="2"/>
        <v>34326754.02832479</v>
      </c>
      <c r="O27" s="17">
        <f t="shared" si="5"/>
        <v>2880201.8429298098</v>
      </c>
    </row>
    <row r="28" spans="1:15">
      <c r="A28" s="2">
        <v>27</v>
      </c>
      <c r="B28" s="2">
        <v>18000000</v>
      </c>
      <c r="C28" s="2">
        <v>1.8959999999999999</v>
      </c>
      <c r="D28" s="2">
        <v>0.82</v>
      </c>
      <c r="E28" s="2">
        <v>1600</v>
      </c>
      <c r="F28" s="2">
        <f>IFERROR(B28*C28*IF(D28="", Parameters!$B$2, D28)/Parameters!$B$6, 0)</f>
        <v>899736.68558200845</v>
      </c>
      <c r="G28" s="13">
        <f>F28*IF(E28="", Parameters!$B$2, E28)</f>
        <v>1439578696.9312136</v>
      </c>
      <c r="H28" s="2">
        <f>G28*Parameters!$B$4</f>
        <v>37429046.120211549</v>
      </c>
      <c r="I28" s="2">
        <f>1/POWER(1+Parameters!$B$5, A28)</f>
        <v>7.6277684443854576E-2</v>
      </c>
      <c r="J28" s="6">
        <f t="shared" si="0"/>
        <v>2855000.9689919758</v>
      </c>
      <c r="K28" s="6">
        <f>SUM($G$2:G28)</f>
        <v>38868624817.142769</v>
      </c>
      <c r="L28">
        <f t="shared" si="4"/>
        <v>854749.85130290803</v>
      </c>
      <c r="M28" s="14">
        <f>L28*IF(E28="",Parameters!$B$2,E28)</f>
        <v>1367599762.0846529</v>
      </c>
      <c r="N28" s="17">
        <f t="shared" si="2"/>
        <v>34326754.02832479</v>
      </c>
      <c r="O28" s="17">
        <f t="shared" si="5"/>
        <v>2618365.3117543724</v>
      </c>
    </row>
    <row r="29" spans="1:15">
      <c r="A29" s="2">
        <v>28</v>
      </c>
      <c r="B29" s="2">
        <v>18000000</v>
      </c>
      <c r="C29" s="2">
        <v>1.8959999999999999</v>
      </c>
      <c r="D29" s="2">
        <v>0.82</v>
      </c>
      <c r="E29" s="2">
        <v>1600</v>
      </c>
      <c r="F29" s="2">
        <f>IFERROR(B29*C29*IF(D29="", Parameters!$B$2, D29)/Parameters!$B$6, 0)</f>
        <v>899736.68558200845</v>
      </c>
      <c r="G29" s="13">
        <f>F29*IF(E29="", Parameters!$B$2, E29)</f>
        <v>1439578696.9312136</v>
      </c>
      <c r="H29" s="2">
        <f>G29*Parameters!$B$4</f>
        <v>37429046.120211549</v>
      </c>
      <c r="I29" s="2">
        <f>1/POWER(1+Parameters!$B$5, A29)</f>
        <v>6.9343349494413245E-2</v>
      </c>
      <c r="J29" s="6">
        <f t="shared" si="0"/>
        <v>2595455.4263563417</v>
      </c>
      <c r="K29" s="6">
        <f>SUM($G$2:G29)</f>
        <v>40308203514.073982</v>
      </c>
      <c r="L29">
        <f t="shared" si="4"/>
        <v>854749.85130290803</v>
      </c>
      <c r="M29" s="14">
        <f>L29*IF(E29="",Parameters!$B$2,E29)</f>
        <v>1367599762.0846529</v>
      </c>
      <c r="N29" s="17">
        <f t="shared" si="2"/>
        <v>34326754.02832479</v>
      </c>
      <c r="O29" s="17">
        <f t="shared" si="5"/>
        <v>2380332.1015948835</v>
      </c>
    </row>
    <row r="30" spans="1:15">
      <c r="A30" s="2">
        <v>29</v>
      </c>
      <c r="B30" s="2">
        <v>18000000</v>
      </c>
      <c r="C30" s="2">
        <v>1.8959999999999999</v>
      </c>
      <c r="D30" s="2">
        <v>0.82</v>
      </c>
      <c r="E30" s="2">
        <v>1600</v>
      </c>
      <c r="F30" s="2">
        <f>IFERROR(B30*C30*IF(D30="", Parameters!$B$2, D30)/Parameters!$B$6, 0)</f>
        <v>899736.68558200845</v>
      </c>
      <c r="G30" s="13">
        <f>F30*IF(E30="", Parameters!$B$2, E30)</f>
        <v>1439578696.9312136</v>
      </c>
      <c r="H30" s="2">
        <f>G30*Parameters!$B$4</f>
        <v>37429046.120211549</v>
      </c>
      <c r="I30" s="2">
        <f>1/POWER(1+Parameters!$B$5, A30)</f>
        <v>6.3039408631284766E-2</v>
      </c>
      <c r="J30" s="6">
        <f t="shared" si="0"/>
        <v>2359504.9330512197</v>
      </c>
      <c r="K30" s="6">
        <f>SUM($G$2:G30)</f>
        <v>41747782211.005196</v>
      </c>
      <c r="L30">
        <f t="shared" si="4"/>
        <v>854749.85130290803</v>
      </c>
      <c r="M30" s="14">
        <f>L30*IF(E30="",Parameters!$B$2,E30)</f>
        <v>1367599762.0846529</v>
      </c>
      <c r="N30" s="17">
        <f t="shared" si="2"/>
        <v>34326754.02832479</v>
      </c>
      <c r="O30" s="17">
        <f t="shared" si="5"/>
        <v>2163938.2741771671</v>
      </c>
    </row>
    <row r="31" spans="1:15">
      <c r="A31" s="2">
        <v>30</v>
      </c>
      <c r="B31" s="2">
        <v>18000000</v>
      </c>
      <c r="C31" s="2">
        <v>1.8959999999999999</v>
      </c>
      <c r="D31" s="2">
        <v>0.82</v>
      </c>
      <c r="E31" s="2">
        <v>1600</v>
      </c>
      <c r="F31" s="2">
        <f>IFERROR(B31*C31*IF(D31="", Parameters!$B$2, D31)/Parameters!$B$6, 0)</f>
        <v>899736.68558200845</v>
      </c>
      <c r="G31" s="13">
        <f>F31*IF(E31="", Parameters!$B$2, E31)</f>
        <v>1439578696.9312136</v>
      </c>
      <c r="H31" s="2">
        <f>G31*Parameters!$B$4</f>
        <v>37429046.120211549</v>
      </c>
      <c r="I31" s="2">
        <f>1/POWER(1+Parameters!$B$5, A31)</f>
        <v>5.7308553301167964E-2</v>
      </c>
      <c r="J31" s="6">
        <f t="shared" si="0"/>
        <v>2145004.4845920177</v>
      </c>
      <c r="K31" s="6">
        <f>SUM($G$2:G31)</f>
        <v>43187360907.936409</v>
      </c>
      <c r="L31">
        <f t="shared" si="4"/>
        <v>854749.85130290803</v>
      </c>
      <c r="M31" s="14">
        <f>L31*IF(E31="",Parameters!$B$2,E31)</f>
        <v>1367599762.0846529</v>
      </c>
      <c r="N31" s="17">
        <f t="shared" si="2"/>
        <v>34326754.02832479</v>
      </c>
      <c r="O31" s="17">
        <f t="shared" si="5"/>
        <v>1967216.6128883334</v>
      </c>
    </row>
    <row r="32" spans="1:15">
      <c r="A32" s="5">
        <v>31</v>
      </c>
      <c r="B32" s="2">
        <v>18000000</v>
      </c>
      <c r="C32" s="2">
        <v>1.8959999999999999</v>
      </c>
      <c r="D32" s="2">
        <v>0.82</v>
      </c>
      <c r="E32" s="2">
        <v>1600</v>
      </c>
      <c r="F32" s="2">
        <f>IFERROR(B32*C32*IF(D32="", Parameters!$B$2, D32)/Parameters!$B$6, 0)</f>
        <v>899736.68558200845</v>
      </c>
      <c r="G32" s="13">
        <f>F32*IF(E32="", Parameters!$B$2, E32)</f>
        <v>1439578696.9312136</v>
      </c>
      <c r="H32" s="2">
        <f>G32*Parameters!$B$4</f>
        <v>37429046.120211549</v>
      </c>
      <c r="I32" s="2">
        <f>1/POWER(1+Parameters!$B$5, A32)</f>
        <v>5.2098684819243603E-2</v>
      </c>
      <c r="J32" s="6">
        <f t="shared" si="0"/>
        <v>1950004.076901834</v>
      </c>
      <c r="K32" s="6">
        <f>SUM($G$2:G32)</f>
        <v>44626939604.867622</v>
      </c>
      <c r="L32">
        <f t="shared" si="4"/>
        <v>854749.85130290803</v>
      </c>
      <c r="M32" s="14">
        <f>L32*IF(E32="",Parameters!$B$2,E32)</f>
        <v>1367599762.0846529</v>
      </c>
      <c r="N32" s="17">
        <f t="shared" si="2"/>
        <v>34326754.02832479</v>
      </c>
      <c r="O32" s="17">
        <f t="shared" si="5"/>
        <v>1788378.7389893939</v>
      </c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44626939604.867622</v>
      </c>
      <c r="H39">
        <f>SUM(H2:H33)</f>
        <v>1160300429.7265587</v>
      </c>
      <c r="J39" s="11">
        <f>SUM(J2:J32)</f>
        <v>354790420.433097</v>
      </c>
      <c r="O39" s="11">
        <f>SUM(O2:O32)</f>
        <v>325383752.89335364</v>
      </c>
    </row>
    <row r="40" spans="1:15">
      <c r="F40" s="3" t="s">
        <v>16</v>
      </c>
      <c r="G40" s="10">
        <f>G39</f>
        <v>44626939604.867622</v>
      </c>
    </row>
    <row r="41" spans="1:15">
      <c r="F41" s="3" t="s">
        <v>17</v>
      </c>
      <c r="G41" s="10">
        <f>H39</f>
        <v>1160300429.7265587</v>
      </c>
    </row>
    <row r="42" spans="1:15">
      <c r="F42" s="3" t="s">
        <v>9</v>
      </c>
      <c r="G42" s="10">
        <f>J39</f>
        <v>354790420.433097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C1D8-7284-4834-A749-3948D3E514FC}">
  <sheetPr codeName="Sheet18"/>
  <dimension ref="A1:O42"/>
  <sheetViews>
    <sheetView topLeftCell="A8" workbookViewId="0">
      <pane xSplit="1" topLeftCell="E1" activePane="topRight" state="frozen"/>
      <selection pane="topRight" activeCell="N31" sqref="N31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24000000</v>
      </c>
      <c r="C2" s="2">
        <v>1.9410000000000001</v>
      </c>
      <c r="D2" s="2">
        <v>0.82</v>
      </c>
      <c r="E2" s="2">
        <v>1600</v>
      </c>
      <c r="F2" s="2">
        <f>IFERROR(B2*C2*IF(D2="", Parameters!$B$2, D2)/Parameters!$B$6, 0)</f>
        <v>1228121.5940328259</v>
      </c>
      <c r="G2" s="13">
        <f>F2*IF(E2="", Parameters!$B$2, E2)</f>
        <v>1964994550.4525213</v>
      </c>
      <c r="H2" s="2">
        <f>G2*Parameters!$B$4</f>
        <v>51089858.311765552</v>
      </c>
      <c r="I2" s="2">
        <f>1/POWER(1+Parameters!$B$5, A2)</f>
        <v>0.90909090909090906</v>
      </c>
      <c r="J2" s="6">
        <f t="shared" ref="J2:J33" si="0">H2*I2</f>
        <v>46445325.737968683</v>
      </c>
      <c r="K2" s="6">
        <f>SUM($G$2:G2)</f>
        <v>1964994550.4525213</v>
      </c>
      <c r="L2">
        <f>F2*0.95</f>
        <v>1166715.5143311846</v>
      </c>
      <c r="M2" s="14">
        <f>L2*IF(E2="",Parameters!$B$2,E2)</f>
        <v>1866744822.9298954</v>
      </c>
      <c r="N2" s="17">
        <f>M2*0.0251</f>
        <v>46855295.055540375</v>
      </c>
      <c r="O2" s="17">
        <f>N2*I2</f>
        <v>42595722.777763978</v>
      </c>
    </row>
    <row r="3" spans="1:15">
      <c r="A3" s="2">
        <v>2</v>
      </c>
      <c r="B3" s="2">
        <v>24000000</v>
      </c>
      <c r="C3" s="2">
        <v>1.9410000000000001</v>
      </c>
      <c r="D3" s="2">
        <v>0.82</v>
      </c>
      <c r="E3" s="2">
        <v>1600</v>
      </c>
      <c r="F3" s="2">
        <f>IFERROR(B3*C3*IF(D3="", Parameters!$B$2, D3)/Parameters!$B$6, 0)</f>
        <v>1228121.5940328259</v>
      </c>
      <c r="G3" s="13">
        <f>F3*IF(E3="", Parameters!$B$2, E3)</f>
        <v>1964994550.4525213</v>
      </c>
      <c r="H3" s="2">
        <f>G3*Parameters!$B$4</f>
        <v>51089858.311765552</v>
      </c>
      <c r="I3" s="2">
        <f>1/POWER(1+Parameters!$B$5, A3)</f>
        <v>0.82644628099173545</v>
      </c>
      <c r="J3" s="6">
        <f t="shared" si="0"/>
        <v>42223023.398153342</v>
      </c>
      <c r="K3" s="6">
        <f>SUM($G$2:G3)</f>
        <v>3929989100.9050426</v>
      </c>
      <c r="L3">
        <f t="shared" ref="L3:L33" si="1">F3*0.95</f>
        <v>1166715.5143311846</v>
      </c>
      <c r="M3" s="14">
        <f>L3*IF(E3="",Parameters!$B$2,E3)</f>
        <v>1866744822.9298954</v>
      </c>
      <c r="N3" s="17">
        <f t="shared" ref="N3:N32" si="2">M3*0.0251</f>
        <v>46855295.055540375</v>
      </c>
      <c r="O3" s="17">
        <f t="shared" ref="O3:O32" si="3">N3*I3</f>
        <v>38723384.343421794</v>
      </c>
    </row>
    <row r="4" spans="1:15">
      <c r="A4" s="2">
        <v>3</v>
      </c>
      <c r="B4" s="2">
        <v>24000000</v>
      </c>
      <c r="C4" s="2">
        <v>1.9410000000000001</v>
      </c>
      <c r="D4" s="2">
        <v>0.82</v>
      </c>
      <c r="E4" s="2">
        <v>1600</v>
      </c>
      <c r="F4" s="2">
        <f>IFERROR(B4*C4*IF(D4="", Parameters!$B$2, D4)/Parameters!$B$6, 0)</f>
        <v>1228121.5940328259</v>
      </c>
      <c r="G4" s="13">
        <f>F4*IF(E4="", Parameters!$B$2, E4)</f>
        <v>1964994550.4525213</v>
      </c>
      <c r="H4" s="2">
        <f>G4*Parameters!$B$4</f>
        <v>51089858.311765552</v>
      </c>
      <c r="I4" s="2">
        <f>1/POWER(1+Parameters!$B$5, A4)</f>
        <v>0.75131480090157754</v>
      </c>
      <c r="J4" s="6">
        <f t="shared" si="0"/>
        <v>38384566.725593939</v>
      </c>
      <c r="K4" s="6">
        <f>SUM($G$2:G4)</f>
        <v>5894983651.357564</v>
      </c>
      <c r="L4">
        <f t="shared" si="1"/>
        <v>1166715.5143311846</v>
      </c>
      <c r="M4" s="14">
        <f>L4*IF(E4="",Parameters!$B$2,E4)</f>
        <v>1866744822.9298954</v>
      </c>
      <c r="N4" s="17">
        <f t="shared" si="2"/>
        <v>46855295.055540375</v>
      </c>
      <c r="O4" s="17">
        <f t="shared" si="3"/>
        <v>35203076.675837986</v>
      </c>
    </row>
    <row r="5" spans="1:15">
      <c r="A5" s="2">
        <v>4</v>
      </c>
      <c r="B5" s="2">
        <v>24000000</v>
      </c>
      <c r="C5" s="2">
        <v>1.9410000000000001</v>
      </c>
      <c r="D5" s="2">
        <v>0.82</v>
      </c>
      <c r="E5" s="2">
        <v>1600</v>
      </c>
      <c r="F5" s="2">
        <f>IFERROR(B5*C5*IF(D5="", Parameters!$B$2, D5)/Parameters!$B$6, 0)</f>
        <v>1228121.5940328259</v>
      </c>
      <c r="G5" s="13">
        <f>F5*IF(E5="", Parameters!$B$2, E5)</f>
        <v>1964994550.4525213</v>
      </c>
      <c r="H5" s="2">
        <f>G5*Parameters!$B$4</f>
        <v>51089858.311765552</v>
      </c>
      <c r="I5" s="2">
        <f>1/POWER(1+Parameters!$B$5, A5)</f>
        <v>0.68301345536507052</v>
      </c>
      <c r="J5" s="6">
        <f t="shared" si="0"/>
        <v>34895060.659630857</v>
      </c>
      <c r="K5" s="6">
        <f>SUM($G$2:G5)</f>
        <v>7859978201.8100853</v>
      </c>
      <c r="L5">
        <f t="shared" si="1"/>
        <v>1166715.5143311846</v>
      </c>
      <c r="M5" s="14">
        <f>L5*IF(E5="",Parameters!$B$2,E5)</f>
        <v>1866744822.9298954</v>
      </c>
      <c r="N5" s="17">
        <f t="shared" si="2"/>
        <v>46855295.055540375</v>
      </c>
      <c r="O5" s="17">
        <f t="shared" si="3"/>
        <v>32002796.978034537</v>
      </c>
    </row>
    <row r="6" spans="1:15">
      <c r="A6" s="2">
        <v>5</v>
      </c>
      <c r="B6" s="2">
        <v>24000000</v>
      </c>
      <c r="C6" s="2">
        <v>1.9410000000000001</v>
      </c>
      <c r="D6" s="2">
        <v>0.82</v>
      </c>
      <c r="E6" s="2">
        <v>1600</v>
      </c>
      <c r="F6" s="2">
        <f>IFERROR(B6*C6*IF(D6="", Parameters!$B$2, D6)/Parameters!$B$6, 0)</f>
        <v>1228121.5940328259</v>
      </c>
      <c r="G6" s="13">
        <f>F6*IF(E6="", Parameters!$B$2, E6)</f>
        <v>1964994550.4525213</v>
      </c>
      <c r="H6" s="2">
        <f>G6*Parameters!$B$4</f>
        <v>51089858.311765552</v>
      </c>
      <c r="I6" s="2">
        <f>1/POWER(1+Parameters!$B$5, A6)</f>
        <v>0.62092132305915493</v>
      </c>
      <c r="J6" s="6">
        <f t="shared" si="0"/>
        <v>31722782.417846229</v>
      </c>
      <c r="K6" s="6">
        <f>SUM($G$2:G6)</f>
        <v>9824972752.2626076</v>
      </c>
      <c r="L6">
        <f t="shared" si="1"/>
        <v>1166715.5143311846</v>
      </c>
      <c r="M6" s="14">
        <f>L6*IF(E6="",Parameters!$B$2,E6)</f>
        <v>1866744822.9298954</v>
      </c>
      <c r="N6" s="17">
        <f t="shared" si="2"/>
        <v>46855295.055540375</v>
      </c>
      <c r="O6" s="17">
        <f t="shared" si="3"/>
        <v>29093451.79821321</v>
      </c>
    </row>
    <row r="7" spans="1:15">
      <c r="A7" s="2">
        <v>6</v>
      </c>
      <c r="B7" s="2">
        <v>24000000</v>
      </c>
      <c r="C7" s="2">
        <v>1.9410000000000001</v>
      </c>
      <c r="D7" s="2">
        <v>0.82</v>
      </c>
      <c r="E7" s="2">
        <v>1600</v>
      </c>
      <c r="F7" s="2">
        <f>IFERROR(B7*C7*IF(D7="", Parameters!$B$2, D7)/Parameters!$B$6, 0)</f>
        <v>1228121.5940328259</v>
      </c>
      <c r="G7" s="13">
        <f>F7*IF(E7="", Parameters!$B$2, E7)</f>
        <v>1964994550.4525213</v>
      </c>
      <c r="H7" s="2">
        <f>G7*Parameters!$B$4</f>
        <v>51089858.311765552</v>
      </c>
      <c r="I7" s="2">
        <f>1/POWER(1+Parameters!$B$5, A7)</f>
        <v>0.56447393005377722</v>
      </c>
      <c r="J7" s="6">
        <f t="shared" si="0"/>
        <v>28838893.107132938</v>
      </c>
      <c r="K7" s="6">
        <f>SUM($G$2:G7)</f>
        <v>11789967302.71513</v>
      </c>
      <c r="L7">
        <f t="shared" si="1"/>
        <v>1166715.5143311846</v>
      </c>
      <c r="M7" s="14">
        <f>L7*IF(E7="",Parameters!$B$2,E7)</f>
        <v>1866744822.9298954</v>
      </c>
      <c r="N7" s="17">
        <f t="shared" si="2"/>
        <v>46855295.055540375</v>
      </c>
      <c r="O7" s="17">
        <f t="shared" si="3"/>
        <v>26448592.54383019</v>
      </c>
    </row>
    <row r="8" spans="1:15">
      <c r="A8" s="2">
        <v>7</v>
      </c>
      <c r="B8" s="2">
        <v>24000000</v>
      </c>
      <c r="C8" s="2">
        <v>1.9410000000000001</v>
      </c>
      <c r="D8" s="2">
        <v>0.82</v>
      </c>
      <c r="E8" s="2">
        <v>1600</v>
      </c>
      <c r="F8" s="2">
        <f>IFERROR(B8*C8*IF(D8="", Parameters!$B$2, D8)/Parameters!$B$6, 0)</f>
        <v>1228121.5940328259</v>
      </c>
      <c r="G8" s="13">
        <f>F8*IF(E8="", Parameters!$B$2, E8)</f>
        <v>1964994550.4525213</v>
      </c>
      <c r="H8" s="2">
        <f>G8*Parameters!$B$4</f>
        <v>51089858.311765552</v>
      </c>
      <c r="I8" s="2">
        <f>1/POWER(1+Parameters!$B$5, A8)</f>
        <v>0.51315811823070645</v>
      </c>
      <c r="J8" s="6">
        <f t="shared" si="0"/>
        <v>26217175.551939029</v>
      </c>
      <c r="K8" s="6">
        <f>SUM($G$2:G8)</f>
        <v>13754961853.167652</v>
      </c>
      <c r="L8">
        <f t="shared" si="1"/>
        <v>1166715.5143311846</v>
      </c>
      <c r="M8" s="14">
        <f>L8*IF(E8="",Parameters!$B$2,E8)</f>
        <v>1866744822.9298954</v>
      </c>
      <c r="N8" s="17">
        <f t="shared" si="2"/>
        <v>46855295.055540375</v>
      </c>
      <c r="O8" s="17">
        <f t="shared" si="3"/>
        <v>24044175.039845623</v>
      </c>
    </row>
    <row r="9" spans="1:15">
      <c r="A9" s="2">
        <v>8</v>
      </c>
      <c r="B9" s="2">
        <v>24000000</v>
      </c>
      <c r="C9" s="2">
        <v>1.9410000000000001</v>
      </c>
      <c r="D9" s="2">
        <v>0.82</v>
      </c>
      <c r="E9" s="2">
        <v>1600</v>
      </c>
      <c r="F9" s="2">
        <f>IFERROR(B9*C9*IF(D9="", Parameters!$B$2, D9)/Parameters!$B$6, 0)</f>
        <v>1228121.5940328259</v>
      </c>
      <c r="G9" s="13">
        <f>F9*IF(E9="", Parameters!$B$2, E9)</f>
        <v>1964994550.4525213</v>
      </c>
      <c r="H9" s="2">
        <f>G9*Parameters!$B$4</f>
        <v>51089858.311765552</v>
      </c>
      <c r="I9" s="2">
        <f>1/POWER(1+Parameters!$B$5, A9)</f>
        <v>0.46650738020973315</v>
      </c>
      <c r="J9" s="6">
        <f t="shared" si="0"/>
        <v>23833795.956308208</v>
      </c>
      <c r="K9" s="6">
        <f>SUM($G$2:G9)</f>
        <v>15719956403.620174</v>
      </c>
      <c r="L9">
        <f t="shared" si="1"/>
        <v>1166715.5143311846</v>
      </c>
      <c r="M9" s="14">
        <f>L9*IF(E9="",Parameters!$B$2,E9)</f>
        <v>1866744822.9298954</v>
      </c>
      <c r="N9" s="17">
        <f t="shared" si="2"/>
        <v>46855295.055540375</v>
      </c>
      <c r="O9" s="17">
        <f t="shared" si="3"/>
        <v>21858340.945314202</v>
      </c>
    </row>
    <row r="10" spans="1:15">
      <c r="A10" s="2">
        <v>9</v>
      </c>
      <c r="B10" s="2">
        <v>24000000</v>
      </c>
      <c r="C10" s="2">
        <v>1.9410000000000001</v>
      </c>
      <c r="D10" s="2">
        <v>0.82</v>
      </c>
      <c r="E10" s="2">
        <v>1600</v>
      </c>
      <c r="F10" s="2">
        <f>IFERROR(B10*C10*IF(D10="", Parameters!$B$2, D10)/Parameters!$B$6, 0)</f>
        <v>1228121.5940328259</v>
      </c>
      <c r="G10" s="13">
        <f>F10*IF(E10="", Parameters!$B$2, E10)</f>
        <v>1964994550.4525213</v>
      </c>
      <c r="H10" s="2">
        <f>G10*Parameters!$B$4</f>
        <v>51089858.311765552</v>
      </c>
      <c r="I10" s="2">
        <f>1/POWER(1+Parameters!$B$5, A10)</f>
        <v>0.42409761837248466</v>
      </c>
      <c r="J10" s="6">
        <f t="shared" si="0"/>
        <v>21667087.233007461</v>
      </c>
      <c r="K10" s="6">
        <f>SUM($G$2:G10)</f>
        <v>17684950954.072697</v>
      </c>
      <c r="L10">
        <f t="shared" si="1"/>
        <v>1166715.5143311846</v>
      </c>
      <c r="M10" s="14">
        <f>L10*IF(E10="",Parameters!$B$2,E10)</f>
        <v>1866744822.9298954</v>
      </c>
      <c r="N10" s="17">
        <f t="shared" si="2"/>
        <v>46855295.055540375</v>
      </c>
      <c r="O10" s="17">
        <f t="shared" si="3"/>
        <v>19871219.04119473</v>
      </c>
    </row>
    <row r="11" spans="1:15">
      <c r="A11" s="2">
        <v>10</v>
      </c>
      <c r="B11" s="2">
        <v>24000000</v>
      </c>
      <c r="C11" s="2">
        <v>1.9410000000000001</v>
      </c>
      <c r="D11" s="2">
        <v>0.82</v>
      </c>
      <c r="E11" s="2">
        <v>1600</v>
      </c>
      <c r="F11" s="2">
        <f>IFERROR(B11*C11*IF(D11="", Parameters!$B$2, D11)/Parameters!$B$6, 0)</f>
        <v>1228121.5940328259</v>
      </c>
      <c r="G11" s="13">
        <f>F11*IF(E11="", Parameters!$B$2, E11)</f>
        <v>1964994550.4525213</v>
      </c>
      <c r="H11" s="2">
        <f>G11*Parameters!$B$4</f>
        <v>51089858.311765552</v>
      </c>
      <c r="I11" s="2">
        <f>1/POWER(1+Parameters!$B$5, A11)</f>
        <v>0.38554328942953148</v>
      </c>
      <c r="J11" s="6">
        <f t="shared" si="0"/>
        <v>19697352.030006781</v>
      </c>
      <c r="K11" s="6">
        <f>SUM($G$2:G11)</f>
        <v>19649945504.525219</v>
      </c>
      <c r="L11">
        <f t="shared" si="1"/>
        <v>1166715.5143311846</v>
      </c>
      <c r="M11" s="14">
        <f>L11*IF(E11="",Parameters!$B$2,E11)</f>
        <v>1866744822.9298954</v>
      </c>
      <c r="N11" s="17">
        <f t="shared" si="2"/>
        <v>46855295.055540375</v>
      </c>
      <c r="O11" s="17">
        <f t="shared" si="3"/>
        <v>18064744.582904298</v>
      </c>
    </row>
    <row r="12" spans="1:15">
      <c r="A12" s="2">
        <v>11</v>
      </c>
      <c r="B12" s="2">
        <v>24000000</v>
      </c>
      <c r="C12" s="2">
        <v>1.9410000000000001</v>
      </c>
      <c r="D12" s="2">
        <v>0.82</v>
      </c>
      <c r="E12" s="2">
        <v>1600</v>
      </c>
      <c r="F12" s="2">
        <f>IFERROR(B12*C12*IF(D12="", Parameters!$B$2, D12)/Parameters!$B$6, 0)</f>
        <v>1228121.5940328259</v>
      </c>
      <c r="G12" s="13">
        <f>F12*IF(E12="", Parameters!$B$2, E12)</f>
        <v>1964994550.4525213</v>
      </c>
      <c r="H12" s="2">
        <f>G12*Parameters!$B$4</f>
        <v>51089858.311765552</v>
      </c>
      <c r="I12" s="2">
        <f>1/POWER(1+Parameters!$B$5, A12)</f>
        <v>0.3504938994813922</v>
      </c>
      <c r="J12" s="6">
        <f t="shared" si="0"/>
        <v>17906683.663642526</v>
      </c>
      <c r="K12" s="6">
        <f>SUM($G$2:G12)</f>
        <v>21614940054.977741</v>
      </c>
      <c r="L12">
        <f t="shared" si="1"/>
        <v>1166715.5143311846</v>
      </c>
      <c r="M12" s="14">
        <f>L12*IF(E12="",Parameters!$B$2,E12)</f>
        <v>1866744822.9298954</v>
      </c>
      <c r="N12" s="17">
        <f t="shared" si="2"/>
        <v>46855295.055540375</v>
      </c>
      <c r="O12" s="17">
        <f t="shared" si="3"/>
        <v>16422495.075367542</v>
      </c>
    </row>
    <row r="13" spans="1:15">
      <c r="A13" s="2">
        <v>12</v>
      </c>
      <c r="B13" s="2">
        <v>24000000</v>
      </c>
      <c r="C13" s="2">
        <v>1.9410000000000001</v>
      </c>
      <c r="D13" s="2">
        <v>0.82</v>
      </c>
      <c r="E13" s="2">
        <v>1600</v>
      </c>
      <c r="F13" s="2">
        <f>IFERROR(B13*C13*IF(D13="", Parameters!$B$2, D13)/Parameters!$B$6, 0)</f>
        <v>1228121.5940328259</v>
      </c>
      <c r="G13" s="13">
        <f>F13*IF(E13="", Parameters!$B$2, E13)</f>
        <v>1964994550.4525213</v>
      </c>
      <c r="H13" s="2">
        <f>G13*Parameters!$B$4</f>
        <v>51089858.311765552</v>
      </c>
      <c r="I13" s="2">
        <f>1/POWER(1+Parameters!$B$5, A13)</f>
        <v>0.31863081771035656</v>
      </c>
      <c r="J13" s="6">
        <f t="shared" si="0"/>
        <v>16278803.330584114</v>
      </c>
      <c r="K13" s="6">
        <f>SUM($G$2:G13)</f>
        <v>23579934605.430264</v>
      </c>
      <c r="L13">
        <f t="shared" si="1"/>
        <v>1166715.5143311846</v>
      </c>
      <c r="M13" s="14">
        <f>L13*IF(E13="",Parameters!$B$2,E13)</f>
        <v>1866744822.9298954</v>
      </c>
      <c r="N13" s="17">
        <f t="shared" si="2"/>
        <v>46855295.055540375</v>
      </c>
      <c r="O13" s="17">
        <f t="shared" si="3"/>
        <v>14929540.977606857</v>
      </c>
    </row>
    <row r="14" spans="1:15">
      <c r="A14" s="2">
        <v>13</v>
      </c>
      <c r="B14" s="2">
        <v>24000000</v>
      </c>
      <c r="C14" s="2">
        <v>1.9410000000000001</v>
      </c>
      <c r="D14" s="2">
        <v>0.82</v>
      </c>
      <c r="E14" s="2">
        <v>1600</v>
      </c>
      <c r="F14" s="2">
        <f>IFERROR(B14*C14*IF(D14="", Parameters!$B$2, D14)/Parameters!$B$6, 0)</f>
        <v>1228121.5940328259</v>
      </c>
      <c r="G14" s="13">
        <f>F14*IF(E14="", Parameters!$B$2, E14)</f>
        <v>1964994550.4525213</v>
      </c>
      <c r="H14" s="2">
        <f>G14*Parameters!$B$4</f>
        <v>51089858.311765552</v>
      </c>
      <c r="I14" s="2">
        <f>1/POWER(1+Parameters!$B$5, A14)</f>
        <v>0.28966437973668779</v>
      </c>
      <c r="J14" s="6">
        <f t="shared" si="0"/>
        <v>14798912.118712831</v>
      </c>
      <c r="K14" s="6">
        <f>SUM($G$2:G14)</f>
        <v>25544929155.882786</v>
      </c>
      <c r="L14">
        <f t="shared" si="1"/>
        <v>1166715.5143311846</v>
      </c>
      <c r="M14" s="14">
        <f>L14*IF(E14="",Parameters!$B$2,E14)</f>
        <v>1866744822.9298954</v>
      </c>
      <c r="N14" s="17">
        <f t="shared" si="2"/>
        <v>46855295.055540375</v>
      </c>
      <c r="O14" s="17">
        <f t="shared" si="3"/>
        <v>13572309.979642598</v>
      </c>
    </row>
    <row r="15" spans="1:15">
      <c r="A15" s="2">
        <v>14</v>
      </c>
      <c r="B15" s="2">
        <v>24000000</v>
      </c>
      <c r="C15" s="2">
        <v>1.9410000000000001</v>
      </c>
      <c r="D15" s="2">
        <v>0.82</v>
      </c>
      <c r="E15" s="2">
        <v>1600</v>
      </c>
      <c r="F15" s="2">
        <f>IFERROR(B15*C15*IF(D15="", Parameters!$B$2, D15)/Parameters!$B$6, 0)</f>
        <v>1228121.5940328259</v>
      </c>
      <c r="G15" s="13">
        <f>F15*IF(E15="", Parameters!$B$2, E15)</f>
        <v>1964994550.4525213</v>
      </c>
      <c r="H15" s="2">
        <f>G15*Parameters!$B$4</f>
        <v>51089858.311765552</v>
      </c>
      <c r="I15" s="2">
        <f>1/POWER(1+Parameters!$B$5, A15)</f>
        <v>0.26333125430607973</v>
      </c>
      <c r="J15" s="6">
        <f t="shared" si="0"/>
        <v>13453556.471557116</v>
      </c>
      <c r="K15" s="6">
        <f>SUM($G$2:G15)</f>
        <v>27509923706.335308</v>
      </c>
      <c r="L15">
        <f t="shared" si="1"/>
        <v>1166715.5143311846</v>
      </c>
      <c r="M15" s="14">
        <f>L15*IF(E15="",Parameters!$B$2,E15)</f>
        <v>1866744822.9298954</v>
      </c>
      <c r="N15" s="17">
        <f t="shared" si="2"/>
        <v>46855295.055540375</v>
      </c>
      <c r="O15" s="17">
        <f t="shared" si="3"/>
        <v>12338463.617856903</v>
      </c>
    </row>
    <row r="16" spans="1:15">
      <c r="A16" s="2">
        <v>15</v>
      </c>
      <c r="B16" s="2">
        <v>24000000</v>
      </c>
      <c r="C16" s="2">
        <v>1.9410000000000001</v>
      </c>
      <c r="D16" s="2">
        <v>0.82</v>
      </c>
      <c r="E16" s="2">
        <v>1600</v>
      </c>
      <c r="F16" s="2">
        <f>IFERROR(B16*C16*IF(D16="", Parameters!$B$2, D16)/Parameters!$B$6, 0)</f>
        <v>1228121.5940328259</v>
      </c>
      <c r="G16" s="13">
        <f>F16*IF(E16="", Parameters!$B$2, E16)</f>
        <v>1964994550.4525213</v>
      </c>
      <c r="H16" s="2">
        <f>G16*Parameters!$B$4</f>
        <v>51089858.311765552</v>
      </c>
      <c r="I16" s="2">
        <f>1/POWER(1+Parameters!$B$5, A16)</f>
        <v>0.23939204936916339</v>
      </c>
      <c r="J16" s="6">
        <f t="shared" si="0"/>
        <v>12230505.883233741</v>
      </c>
      <c r="K16" s="6">
        <f>SUM($G$2:G16)</f>
        <v>29474918256.78783</v>
      </c>
      <c r="L16">
        <f t="shared" si="1"/>
        <v>1166715.5143311846</v>
      </c>
      <c r="M16" s="14">
        <f>L16*IF(E16="",Parameters!$B$2,E16)</f>
        <v>1866744822.9298954</v>
      </c>
      <c r="N16" s="17">
        <f t="shared" si="2"/>
        <v>46855295.055540375</v>
      </c>
      <c r="O16" s="17">
        <f t="shared" si="3"/>
        <v>11216785.107142638</v>
      </c>
    </row>
    <row r="17" spans="1:15">
      <c r="A17" s="2">
        <v>16</v>
      </c>
      <c r="B17" s="2">
        <v>24000000</v>
      </c>
      <c r="C17" s="2">
        <v>1.9410000000000001</v>
      </c>
      <c r="D17" s="2">
        <v>0.82</v>
      </c>
      <c r="E17" s="2">
        <v>1600</v>
      </c>
      <c r="F17" s="2">
        <f>IFERROR(B17*C17*IF(D17="", Parameters!$B$2, D17)/Parameters!$B$6, 0)</f>
        <v>1228121.5940328259</v>
      </c>
      <c r="G17" s="13">
        <f>F17*IF(E17="", Parameters!$B$2, E17)</f>
        <v>1964994550.4525213</v>
      </c>
      <c r="H17" s="2">
        <f>G17*Parameters!$B$4</f>
        <v>51089858.311765552</v>
      </c>
      <c r="I17" s="2">
        <f>1/POWER(1+Parameters!$B$5, A17)</f>
        <v>0.21762913579014853</v>
      </c>
      <c r="J17" s="6">
        <f t="shared" si="0"/>
        <v>11118641.712030673</v>
      </c>
      <c r="K17" s="6">
        <f>SUM($G$2:G17)</f>
        <v>31439912807.240353</v>
      </c>
      <c r="L17">
        <f t="shared" si="1"/>
        <v>1166715.5143311846</v>
      </c>
      <c r="M17" s="14">
        <f>L17*IF(E17="",Parameters!$B$2,E17)</f>
        <v>1866744822.9298954</v>
      </c>
      <c r="N17" s="17">
        <f t="shared" si="2"/>
        <v>46855295.055540375</v>
      </c>
      <c r="O17" s="17">
        <f t="shared" si="3"/>
        <v>10197077.370129671</v>
      </c>
    </row>
    <row r="18" spans="1:15">
      <c r="A18" s="2">
        <v>17</v>
      </c>
      <c r="B18" s="2">
        <v>24000000</v>
      </c>
      <c r="C18" s="2">
        <v>1.9410000000000001</v>
      </c>
      <c r="D18" s="2">
        <v>0.82</v>
      </c>
      <c r="E18" s="2">
        <v>1600</v>
      </c>
      <c r="F18" s="2">
        <f>IFERROR(B18*C18*IF(D18="", Parameters!$B$2, D18)/Parameters!$B$6, 0)</f>
        <v>1228121.5940328259</v>
      </c>
      <c r="G18" s="13">
        <f>F18*IF(E18="", Parameters!$B$2, E18)</f>
        <v>1964994550.4525213</v>
      </c>
      <c r="H18" s="2">
        <f>G18*Parameters!$B$4</f>
        <v>51089858.311765552</v>
      </c>
      <c r="I18" s="2">
        <f>1/POWER(1+Parameters!$B$5, A18)</f>
        <v>0.19784466890013502</v>
      </c>
      <c r="J18" s="6">
        <f t="shared" si="0"/>
        <v>10107856.101846067</v>
      </c>
      <c r="K18" s="6">
        <f>SUM($G$2:G18)</f>
        <v>33404907357.692875</v>
      </c>
      <c r="L18">
        <f t="shared" si="1"/>
        <v>1166715.5143311846</v>
      </c>
      <c r="M18" s="14">
        <f>L18*IF(E18="",Parameters!$B$2,E18)</f>
        <v>1866744822.9298954</v>
      </c>
      <c r="N18" s="17">
        <f t="shared" si="2"/>
        <v>46855295.055540375</v>
      </c>
      <c r="O18" s="17">
        <f t="shared" si="3"/>
        <v>9270070.336481519</v>
      </c>
    </row>
    <row r="19" spans="1:15">
      <c r="A19" s="2">
        <v>18</v>
      </c>
      <c r="B19" s="2">
        <v>24000000</v>
      </c>
      <c r="C19" s="2">
        <v>1.9410000000000001</v>
      </c>
      <c r="D19" s="2">
        <v>0.82</v>
      </c>
      <c r="E19" s="2">
        <v>1600</v>
      </c>
      <c r="F19" s="2">
        <f>IFERROR(B19*C19*IF(D19="", Parameters!$B$2, D19)/Parameters!$B$6, 0)</f>
        <v>1228121.5940328259</v>
      </c>
      <c r="G19" s="13">
        <f>F19*IF(E19="", Parameters!$B$2, E19)</f>
        <v>1964994550.4525213</v>
      </c>
      <c r="H19" s="2">
        <f>G19*Parameters!$B$4</f>
        <v>51089858.311765552</v>
      </c>
      <c r="I19" s="2">
        <f>1/POWER(1+Parameters!$B$5, A19)</f>
        <v>0.17985878990921364</v>
      </c>
      <c r="J19" s="6">
        <f t="shared" si="0"/>
        <v>9188960.0925873332</v>
      </c>
      <c r="K19" s="6">
        <f>SUM($G$2:G19)</f>
        <v>35369901908.145393</v>
      </c>
      <c r="L19">
        <f t="shared" si="1"/>
        <v>1166715.5143311846</v>
      </c>
      <c r="M19" s="14">
        <f>L19*IF(E19="",Parameters!$B$2,E19)</f>
        <v>1866744822.9298954</v>
      </c>
      <c r="N19" s="17">
        <f t="shared" si="2"/>
        <v>46855295.055540375</v>
      </c>
      <c r="O19" s="17">
        <f t="shared" si="3"/>
        <v>8427336.6695286538</v>
      </c>
    </row>
    <row r="20" spans="1:15">
      <c r="A20" s="2">
        <v>19</v>
      </c>
      <c r="B20" s="2">
        <v>24000000</v>
      </c>
      <c r="C20" s="2">
        <v>1.9410000000000001</v>
      </c>
      <c r="D20" s="2">
        <v>0.82</v>
      </c>
      <c r="E20" s="2">
        <v>1600</v>
      </c>
      <c r="F20" s="2">
        <f>IFERROR(B20*C20*IF(D20="", Parameters!$B$2, D20)/Parameters!$B$6, 0)</f>
        <v>1228121.5940328259</v>
      </c>
      <c r="G20" s="13">
        <f>F20*IF(E20="", Parameters!$B$2, E20)</f>
        <v>1964994550.4525213</v>
      </c>
      <c r="H20" s="2">
        <f>G20*Parameters!$B$4</f>
        <v>51089858.311765552</v>
      </c>
      <c r="I20" s="2">
        <f>1/POWER(1+Parameters!$B$5, A20)</f>
        <v>0.16350799082655781</v>
      </c>
      <c r="J20" s="6">
        <f t="shared" si="0"/>
        <v>8353600.0841703005</v>
      </c>
      <c r="K20" s="6">
        <f>SUM($G$2:G20)</f>
        <v>37334896458.597916</v>
      </c>
      <c r="L20">
        <f t="shared" si="1"/>
        <v>1166715.5143311846</v>
      </c>
      <c r="M20" s="14">
        <f>L20*IF(E20="",Parameters!$B$2,E20)</f>
        <v>1866744822.9298954</v>
      </c>
      <c r="N20" s="17">
        <f t="shared" si="2"/>
        <v>46855295.055540375</v>
      </c>
      <c r="O20" s="17">
        <f t="shared" si="3"/>
        <v>7661215.1541169556</v>
      </c>
    </row>
    <row r="21" spans="1:15">
      <c r="A21" s="2">
        <v>20</v>
      </c>
      <c r="B21" s="2">
        <v>24000000</v>
      </c>
      <c r="C21" s="2">
        <v>1.9410000000000001</v>
      </c>
      <c r="D21" s="2">
        <v>0.82</v>
      </c>
      <c r="E21" s="2">
        <v>1600</v>
      </c>
      <c r="F21" s="2">
        <f>IFERROR(B21*C21*IF(D21="", Parameters!$B$2, D21)/Parameters!$B$6, 0)</f>
        <v>1228121.5940328259</v>
      </c>
      <c r="G21" s="13">
        <f>F21*IF(E21="", Parameters!$B$2, E21)</f>
        <v>1964994550.4525213</v>
      </c>
      <c r="H21" s="2">
        <f>G21*Parameters!$B$4</f>
        <v>51089858.311765552</v>
      </c>
      <c r="I21" s="2">
        <f>1/POWER(1+Parameters!$B$5, A21)</f>
        <v>0.14864362802414349</v>
      </c>
      <c r="J21" s="6">
        <f t="shared" si="0"/>
        <v>7594181.8947002739</v>
      </c>
      <c r="K21" s="6">
        <f>SUM($G$2:G21)</f>
        <v>39299891009.050438</v>
      </c>
      <c r="L21">
        <f t="shared" si="1"/>
        <v>1166715.5143311846</v>
      </c>
      <c r="M21" s="14">
        <f>L21*IF(E21="",Parameters!$B$2,E21)</f>
        <v>1866744822.9298954</v>
      </c>
      <c r="N21" s="17">
        <f t="shared" si="2"/>
        <v>46855295.055540375</v>
      </c>
      <c r="O21" s="17">
        <f t="shared" si="3"/>
        <v>6964741.0491972333</v>
      </c>
    </row>
    <row r="22" spans="1:15">
      <c r="A22" s="2"/>
      <c r="B22" s="2"/>
      <c r="C22" s="2"/>
      <c r="D22" s="2"/>
      <c r="E22" s="2"/>
      <c r="F22" s="2"/>
      <c r="G22" s="13"/>
      <c r="H22" s="2"/>
      <c r="I22" s="2"/>
      <c r="J22" s="6"/>
      <c r="K22" s="6"/>
      <c r="M22" s="14"/>
      <c r="N22" s="17"/>
      <c r="O22" s="17"/>
    </row>
    <row r="23" spans="1:15">
      <c r="A23" s="2"/>
      <c r="B23" s="2"/>
      <c r="C23" s="2"/>
      <c r="D23" s="2"/>
      <c r="E23" s="2"/>
      <c r="F23" s="2"/>
      <c r="G23" s="13"/>
      <c r="H23" s="2"/>
      <c r="I23" s="2"/>
      <c r="J23" s="6"/>
      <c r="K23" s="6"/>
      <c r="M23" s="14"/>
      <c r="N23" s="17"/>
      <c r="O23" s="17"/>
    </row>
    <row r="24" spans="1:15">
      <c r="A24" s="2"/>
      <c r="B24" s="2"/>
      <c r="C24" s="2"/>
      <c r="D24" s="2"/>
      <c r="E24" s="2"/>
      <c r="F24" s="2"/>
      <c r="G24" s="13"/>
      <c r="H24" s="2"/>
      <c r="I24" s="2"/>
      <c r="J24" s="6"/>
      <c r="K24" s="6"/>
      <c r="M24" s="14"/>
      <c r="N24" s="17"/>
      <c r="O24" s="17"/>
    </row>
    <row r="25" spans="1:15">
      <c r="A25" s="2"/>
      <c r="B25" s="2"/>
      <c r="C25" s="2"/>
      <c r="D25" s="2"/>
      <c r="E25" s="2"/>
      <c r="F25" s="2"/>
      <c r="G25" s="13"/>
      <c r="H25" s="2"/>
      <c r="I25" s="2"/>
      <c r="J25" s="6"/>
      <c r="K25" s="6"/>
      <c r="M25" s="14"/>
      <c r="N25" s="17"/>
      <c r="O25" s="17"/>
    </row>
    <row r="26" spans="1:15">
      <c r="A26" s="2"/>
      <c r="B26" s="2"/>
      <c r="C26" s="2"/>
      <c r="D26" s="2"/>
      <c r="E26" s="2"/>
      <c r="F26" s="2"/>
      <c r="G26" s="13"/>
      <c r="H26" s="2"/>
      <c r="I26" s="2"/>
      <c r="J26" s="6"/>
      <c r="K26" s="6"/>
      <c r="M26" s="14"/>
      <c r="N26" s="17"/>
      <c r="O26" s="17"/>
    </row>
    <row r="27" spans="1:15">
      <c r="A27" s="2"/>
      <c r="B27" s="2"/>
      <c r="C27" s="2"/>
      <c r="D27" s="2"/>
      <c r="E27" s="2"/>
      <c r="F27" s="2"/>
      <c r="G27" s="13"/>
      <c r="H27" s="2"/>
      <c r="I27" s="2"/>
      <c r="J27" s="6"/>
      <c r="K27" s="6"/>
      <c r="M27" s="14"/>
      <c r="N27" s="17"/>
      <c r="O27" s="17"/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39299891009.050438</v>
      </c>
      <c r="H39">
        <f>SUM(H2:H33)</f>
        <v>1021797166.235311</v>
      </c>
      <c r="J39" s="11">
        <f>SUM(J2:J21)</f>
        <v>434956764.17065245</v>
      </c>
      <c r="O39" s="11">
        <f>SUM(O2:O21)</f>
        <v>398905540.06343102</v>
      </c>
    </row>
    <row r="40" spans="1:15">
      <c r="F40" s="3" t="s">
        <v>16</v>
      </c>
      <c r="G40" s="10">
        <f>G39</f>
        <v>39299891009.050438</v>
      </c>
    </row>
    <row r="41" spans="1:15">
      <c r="F41" s="3" t="s">
        <v>17</v>
      </c>
      <c r="G41" s="10">
        <f>H39</f>
        <v>1021797166.235311</v>
      </c>
    </row>
    <row r="42" spans="1:15">
      <c r="F42" s="3" t="s">
        <v>9</v>
      </c>
      <c r="G42" s="10">
        <f>J39</f>
        <v>434956764.17065245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7996-227E-4D7D-B2D8-15AE949A4574}">
  <sheetPr codeName="Sheet19"/>
  <dimension ref="A1:O42"/>
  <sheetViews>
    <sheetView topLeftCell="A9" workbookViewId="0">
      <pane xSplit="1" topLeftCell="D1" activePane="topRight" state="frozen"/>
      <selection pane="topRight" activeCell="N36" sqref="N36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17000000</v>
      </c>
      <c r="C2" s="2">
        <v>1.9430000000000001</v>
      </c>
      <c r="D2" s="2">
        <v>0.82</v>
      </c>
      <c r="E2" s="2">
        <v>1600</v>
      </c>
      <c r="F2" s="2">
        <f>IFERROR(B2*C2*IF(D2="", Parameters!$B$2, D2)/Parameters!$B$6, 0)</f>
        <v>870815.82458565757</v>
      </c>
      <c r="G2" s="13">
        <f>F2*IF(E2="", Parameters!$B$2, E2)</f>
        <v>1393305319.3370521</v>
      </c>
      <c r="H2" s="2">
        <f>G2*Parameters!$B$4</f>
        <v>36225938.30276335</v>
      </c>
      <c r="I2" s="2">
        <f>1/POWER(1+Parameters!$B$5, A2)</f>
        <v>0.90909090909090906</v>
      </c>
      <c r="J2" s="6">
        <f t="shared" ref="J2:J33" si="0">H2*I2</f>
        <v>32932671.184330318</v>
      </c>
      <c r="K2" s="6">
        <f>SUM($G$2:G2)</f>
        <v>1393305319.3370521</v>
      </c>
      <c r="L2">
        <f>F2*0.95</f>
        <v>827275.0333563746</v>
      </c>
      <c r="M2" s="14">
        <f>L2*IF(E2="",Parameters!$B$2,E2)</f>
        <v>1323640053.3701994</v>
      </c>
      <c r="N2" s="17">
        <f>M2*0.0251</f>
        <v>33223365.339592006</v>
      </c>
      <c r="O2" s="17">
        <f>N2*I2</f>
        <v>30203059.399629094</v>
      </c>
    </row>
    <row r="3" spans="1:15">
      <c r="A3" s="2">
        <v>2</v>
      </c>
      <c r="B3" s="2">
        <v>17000000</v>
      </c>
      <c r="C3" s="2">
        <v>1.9430000000000001</v>
      </c>
      <c r="D3" s="2">
        <v>0.82</v>
      </c>
      <c r="E3" s="2">
        <v>1600</v>
      </c>
      <c r="F3" s="2">
        <f>IFERROR(B3*C3*IF(D3="", Parameters!$B$2, D3)/Parameters!$B$6, 0)</f>
        <v>870815.82458565757</v>
      </c>
      <c r="G3" s="13">
        <f>F3*IF(E3="", Parameters!$B$2, E3)</f>
        <v>1393305319.3370521</v>
      </c>
      <c r="H3" s="2">
        <f>G3*Parameters!$B$4</f>
        <v>36225938.30276335</v>
      </c>
      <c r="I3" s="2">
        <f>1/POWER(1+Parameters!$B$5, A3)</f>
        <v>0.82644628099173545</v>
      </c>
      <c r="J3" s="6">
        <f t="shared" si="0"/>
        <v>29938791.985754833</v>
      </c>
      <c r="K3" s="6">
        <f>SUM($G$2:G3)</f>
        <v>2786610638.6741042</v>
      </c>
      <c r="L3">
        <f t="shared" ref="L3:L33" si="1">F3*0.95</f>
        <v>827275.0333563746</v>
      </c>
      <c r="M3" s="14">
        <f>L3*IF(E3="",Parameters!$B$2,E3)</f>
        <v>1323640053.3701994</v>
      </c>
      <c r="N3" s="17">
        <f t="shared" ref="N3:N29" si="2">M3*0.0251</f>
        <v>33223365.339592006</v>
      </c>
      <c r="O3" s="17">
        <f t="shared" ref="O3:O21" si="3">N3*I3</f>
        <v>27457326.726935539</v>
      </c>
    </row>
    <row r="4" spans="1:15">
      <c r="A4" s="2">
        <v>3</v>
      </c>
      <c r="B4" s="2">
        <v>17000000</v>
      </c>
      <c r="C4" s="2">
        <v>1.9430000000000001</v>
      </c>
      <c r="D4" s="2">
        <v>0.82</v>
      </c>
      <c r="E4" s="2">
        <v>1600</v>
      </c>
      <c r="F4" s="2">
        <f>IFERROR(B4*C4*IF(D4="", Parameters!$B$2, D4)/Parameters!$B$6, 0)</f>
        <v>870815.82458565757</v>
      </c>
      <c r="G4" s="13">
        <f>F4*IF(E4="", Parameters!$B$2, E4)</f>
        <v>1393305319.3370521</v>
      </c>
      <c r="H4" s="2">
        <f>G4*Parameters!$B$4</f>
        <v>36225938.30276335</v>
      </c>
      <c r="I4" s="2">
        <f>1/POWER(1+Parameters!$B$5, A4)</f>
        <v>0.75131480090157754</v>
      </c>
      <c r="J4" s="6">
        <f t="shared" si="0"/>
        <v>27217083.623413477</v>
      </c>
      <c r="K4" s="6">
        <f>SUM($G$2:G4)</f>
        <v>4179915958.0111561</v>
      </c>
      <c r="L4">
        <f t="shared" si="1"/>
        <v>827275.0333563746</v>
      </c>
      <c r="M4" s="14">
        <f>L4*IF(E4="",Parameters!$B$2,E4)</f>
        <v>1323640053.3701994</v>
      </c>
      <c r="N4" s="17">
        <f t="shared" si="2"/>
        <v>33223365.339592006</v>
      </c>
      <c r="O4" s="17">
        <f t="shared" si="3"/>
        <v>24961206.115395941</v>
      </c>
    </row>
    <row r="5" spans="1:15">
      <c r="A5" s="2">
        <v>4</v>
      </c>
      <c r="B5" s="2">
        <v>17000000</v>
      </c>
      <c r="C5" s="2">
        <v>1.9430000000000001</v>
      </c>
      <c r="D5" s="2">
        <v>0.82</v>
      </c>
      <c r="E5" s="2">
        <v>1600</v>
      </c>
      <c r="F5" s="2">
        <f>IFERROR(B5*C5*IF(D5="", Parameters!$B$2, D5)/Parameters!$B$6, 0)</f>
        <v>870815.82458565757</v>
      </c>
      <c r="G5" s="13">
        <f>F5*IF(E5="", Parameters!$B$2, E5)</f>
        <v>1393305319.3370521</v>
      </c>
      <c r="H5" s="2">
        <f>G5*Parameters!$B$4</f>
        <v>36225938.30276335</v>
      </c>
      <c r="I5" s="2">
        <f>1/POWER(1+Parameters!$B$5, A5)</f>
        <v>0.68301345536507052</v>
      </c>
      <c r="J5" s="6">
        <f t="shared" si="0"/>
        <v>24742803.294012256</v>
      </c>
      <c r="K5" s="6">
        <f>SUM($G$2:G5)</f>
        <v>5573221277.3482084</v>
      </c>
      <c r="L5">
        <f t="shared" si="1"/>
        <v>827275.0333563746</v>
      </c>
      <c r="M5" s="14">
        <f>L5*IF(E5="",Parameters!$B$2,E5)</f>
        <v>1323640053.3701994</v>
      </c>
      <c r="N5" s="17">
        <f t="shared" si="2"/>
        <v>33223365.339592006</v>
      </c>
      <c r="O5" s="17">
        <f t="shared" si="3"/>
        <v>22692005.559450857</v>
      </c>
    </row>
    <row r="6" spans="1:15">
      <c r="A6" s="2">
        <v>5</v>
      </c>
      <c r="B6" s="2">
        <v>17000000</v>
      </c>
      <c r="C6" s="2">
        <v>1.9430000000000001</v>
      </c>
      <c r="D6" s="2">
        <v>0.82</v>
      </c>
      <c r="E6" s="2">
        <v>1600</v>
      </c>
      <c r="F6" s="2">
        <f>IFERROR(B6*C6*IF(D6="", Parameters!$B$2, D6)/Parameters!$B$6, 0)</f>
        <v>870815.82458565757</v>
      </c>
      <c r="G6" s="13">
        <f>F6*IF(E6="", Parameters!$B$2, E6)</f>
        <v>1393305319.3370521</v>
      </c>
      <c r="H6" s="2">
        <f>G6*Parameters!$B$4</f>
        <v>36225938.30276335</v>
      </c>
      <c r="I6" s="2">
        <f>1/POWER(1+Parameters!$B$5, A6)</f>
        <v>0.62092132305915493</v>
      </c>
      <c r="J6" s="6">
        <f t="shared" si="0"/>
        <v>22493457.540011138</v>
      </c>
      <c r="K6" s="6">
        <f>SUM($G$2:G6)</f>
        <v>6966526596.6852608</v>
      </c>
      <c r="L6">
        <f t="shared" si="1"/>
        <v>827275.0333563746</v>
      </c>
      <c r="M6" s="14">
        <f>L6*IF(E6="",Parameters!$B$2,E6)</f>
        <v>1323640053.3701994</v>
      </c>
      <c r="N6" s="17">
        <f t="shared" si="2"/>
        <v>33223365.339592006</v>
      </c>
      <c r="O6" s="17">
        <f t="shared" si="3"/>
        <v>20629095.963137139</v>
      </c>
    </row>
    <row r="7" spans="1:15">
      <c r="A7" s="2">
        <v>6</v>
      </c>
      <c r="B7" s="2">
        <v>17000000</v>
      </c>
      <c r="C7" s="2">
        <v>1.9430000000000001</v>
      </c>
      <c r="D7" s="2">
        <v>0.82</v>
      </c>
      <c r="E7" s="2">
        <v>1600</v>
      </c>
      <c r="F7" s="2">
        <f>IFERROR(B7*C7*IF(D7="", Parameters!$B$2, D7)/Parameters!$B$6, 0)</f>
        <v>870815.82458565757</v>
      </c>
      <c r="G7" s="13">
        <f>F7*IF(E7="", Parameters!$B$2, E7)</f>
        <v>1393305319.3370521</v>
      </c>
      <c r="H7" s="2">
        <f>G7*Parameters!$B$4</f>
        <v>36225938.30276335</v>
      </c>
      <c r="I7" s="2">
        <f>1/POWER(1+Parameters!$B$5, A7)</f>
        <v>0.56447393005377722</v>
      </c>
      <c r="J7" s="6">
        <f t="shared" si="0"/>
        <v>20448597.763646487</v>
      </c>
      <c r="K7" s="6">
        <f>SUM($G$2:G7)</f>
        <v>8359831916.0223131</v>
      </c>
      <c r="L7">
        <f t="shared" si="1"/>
        <v>827275.0333563746</v>
      </c>
      <c r="M7" s="14">
        <f>L7*IF(E7="",Parameters!$B$2,E7)</f>
        <v>1323640053.3701994</v>
      </c>
      <c r="N7" s="17">
        <f t="shared" si="2"/>
        <v>33223365.339592006</v>
      </c>
      <c r="O7" s="17">
        <f t="shared" si="3"/>
        <v>18753723.602851946</v>
      </c>
    </row>
    <row r="8" spans="1:15">
      <c r="A8" s="2">
        <v>7</v>
      </c>
      <c r="B8" s="2">
        <v>17000000</v>
      </c>
      <c r="C8" s="2">
        <v>1.9430000000000001</v>
      </c>
      <c r="D8" s="2">
        <v>0.82</v>
      </c>
      <c r="E8" s="2">
        <v>1600</v>
      </c>
      <c r="F8" s="2">
        <f>IFERROR(B8*C8*IF(D8="", Parameters!$B$2, D8)/Parameters!$B$6, 0)</f>
        <v>870815.82458565757</v>
      </c>
      <c r="G8" s="13">
        <f>F8*IF(E8="", Parameters!$B$2, E8)</f>
        <v>1393305319.3370521</v>
      </c>
      <c r="H8" s="2">
        <f>G8*Parameters!$B$4</f>
        <v>36225938.30276335</v>
      </c>
      <c r="I8" s="2">
        <f>1/POWER(1+Parameters!$B$5, A8)</f>
        <v>0.51315811823070645</v>
      </c>
      <c r="J8" s="6">
        <f t="shared" si="0"/>
        <v>18589634.330587711</v>
      </c>
      <c r="K8" s="6">
        <f>SUM($G$2:G8)</f>
        <v>9753137235.3593655</v>
      </c>
      <c r="L8">
        <f t="shared" si="1"/>
        <v>827275.0333563746</v>
      </c>
      <c r="M8" s="14">
        <f>L8*IF(E8="",Parameters!$B$2,E8)</f>
        <v>1323640053.3701994</v>
      </c>
      <c r="N8" s="17">
        <f t="shared" si="2"/>
        <v>33223365.339592006</v>
      </c>
      <c r="O8" s="17">
        <f t="shared" si="3"/>
        <v>17048839.638956308</v>
      </c>
    </row>
    <row r="9" spans="1:15">
      <c r="A9" s="2">
        <v>8</v>
      </c>
      <c r="B9" s="2">
        <v>17000000</v>
      </c>
      <c r="C9" s="2">
        <v>1.9430000000000001</v>
      </c>
      <c r="D9" s="2">
        <v>0.82</v>
      </c>
      <c r="E9" s="2">
        <v>1600</v>
      </c>
      <c r="F9" s="2">
        <f>IFERROR(B9*C9*IF(D9="", Parameters!$B$2, D9)/Parameters!$B$6, 0)</f>
        <v>870815.82458565757</v>
      </c>
      <c r="G9" s="13">
        <f>F9*IF(E9="", Parameters!$B$2, E9)</f>
        <v>1393305319.3370521</v>
      </c>
      <c r="H9" s="2">
        <f>G9*Parameters!$B$4</f>
        <v>36225938.30276335</v>
      </c>
      <c r="I9" s="2">
        <f>1/POWER(1+Parameters!$B$5, A9)</f>
        <v>0.46650738020973315</v>
      </c>
      <c r="J9" s="6">
        <f t="shared" si="0"/>
        <v>16899667.573261559</v>
      </c>
      <c r="K9" s="6">
        <f>SUM($G$2:G9)</f>
        <v>11146442554.696417</v>
      </c>
      <c r="L9">
        <f t="shared" si="1"/>
        <v>827275.0333563746</v>
      </c>
      <c r="M9" s="14">
        <f>L9*IF(E9="",Parameters!$B$2,E9)</f>
        <v>1323640053.3701994</v>
      </c>
      <c r="N9" s="17">
        <f t="shared" si="2"/>
        <v>33223365.339592006</v>
      </c>
      <c r="O9" s="17">
        <f t="shared" si="3"/>
        <v>15498945.126323918</v>
      </c>
    </row>
    <row r="10" spans="1:15">
      <c r="A10" s="2">
        <v>9</v>
      </c>
      <c r="B10" s="2">
        <v>17000000</v>
      </c>
      <c r="C10" s="2">
        <v>1.9430000000000001</v>
      </c>
      <c r="D10" s="2">
        <v>0.82</v>
      </c>
      <c r="E10" s="2">
        <v>1600</v>
      </c>
      <c r="F10" s="2">
        <f>IFERROR(B10*C10*IF(D10="", Parameters!$B$2, D10)/Parameters!$B$6, 0)</f>
        <v>870815.82458565757</v>
      </c>
      <c r="G10" s="13">
        <f>F10*IF(E10="", Parameters!$B$2, E10)</f>
        <v>1393305319.3370521</v>
      </c>
      <c r="H10" s="2">
        <f>G10*Parameters!$B$4</f>
        <v>36225938.30276335</v>
      </c>
      <c r="I10" s="2">
        <f>1/POWER(1+Parameters!$B$5, A10)</f>
        <v>0.42409761837248466</v>
      </c>
      <c r="J10" s="6">
        <f t="shared" si="0"/>
        <v>15363334.157510506</v>
      </c>
      <c r="K10" s="6">
        <f>SUM($G$2:G10)</f>
        <v>12539747874.033468</v>
      </c>
      <c r="L10">
        <f t="shared" si="1"/>
        <v>827275.0333563746</v>
      </c>
      <c r="M10" s="14">
        <f>L10*IF(E10="",Parameters!$B$2,E10)</f>
        <v>1323640053.3701994</v>
      </c>
      <c r="N10" s="17">
        <f t="shared" si="2"/>
        <v>33223365.339592006</v>
      </c>
      <c r="O10" s="17">
        <f t="shared" si="3"/>
        <v>14089950.114839924</v>
      </c>
    </row>
    <row r="11" spans="1:15">
      <c r="A11" s="2">
        <v>10</v>
      </c>
      <c r="B11" s="2">
        <v>17000000</v>
      </c>
      <c r="C11" s="2">
        <v>1.9430000000000001</v>
      </c>
      <c r="D11" s="2">
        <v>0.82</v>
      </c>
      <c r="E11" s="2">
        <v>1600</v>
      </c>
      <c r="F11" s="2">
        <f>IFERROR(B11*C11*IF(D11="", Parameters!$B$2, D11)/Parameters!$B$6, 0)</f>
        <v>870815.82458565757</v>
      </c>
      <c r="G11" s="13">
        <f>F11*IF(E11="", Parameters!$B$2, E11)</f>
        <v>1393305319.3370521</v>
      </c>
      <c r="H11" s="2">
        <f>G11*Parameters!$B$4</f>
        <v>36225938.30276335</v>
      </c>
      <c r="I11" s="2">
        <f>1/POWER(1+Parameters!$B$5, A11)</f>
        <v>0.38554328942953148</v>
      </c>
      <c r="J11" s="6">
        <f t="shared" si="0"/>
        <v>13966667.415918641</v>
      </c>
      <c r="K11" s="6">
        <f>SUM($G$2:G11)</f>
        <v>13933053193.37052</v>
      </c>
      <c r="L11">
        <f t="shared" si="1"/>
        <v>827275.0333563746</v>
      </c>
      <c r="M11" s="14">
        <f>L11*IF(E11="",Parameters!$B$2,E11)</f>
        <v>1323640053.3701994</v>
      </c>
      <c r="N11" s="17">
        <f t="shared" si="2"/>
        <v>33223365.339592006</v>
      </c>
      <c r="O11" s="17">
        <f t="shared" si="3"/>
        <v>12809045.558945386</v>
      </c>
    </row>
    <row r="12" spans="1:15">
      <c r="A12" s="2">
        <v>11</v>
      </c>
      <c r="B12" s="2">
        <v>17000000</v>
      </c>
      <c r="C12" s="2">
        <v>1.9430000000000001</v>
      </c>
      <c r="D12" s="2">
        <v>0.82</v>
      </c>
      <c r="E12" s="2">
        <v>1600</v>
      </c>
      <c r="F12" s="2">
        <f>IFERROR(B12*C12*IF(D12="", Parameters!$B$2, D12)/Parameters!$B$6, 0)</f>
        <v>870815.82458565757</v>
      </c>
      <c r="G12" s="13">
        <f>F12*IF(E12="", Parameters!$B$2, E12)</f>
        <v>1393305319.3370521</v>
      </c>
      <c r="H12" s="2">
        <f>G12*Parameters!$B$4</f>
        <v>36225938.30276335</v>
      </c>
      <c r="I12" s="2">
        <f>1/POWER(1+Parameters!$B$5, A12)</f>
        <v>0.3504938994813922</v>
      </c>
      <c r="J12" s="6">
        <f t="shared" si="0"/>
        <v>12696970.378107853</v>
      </c>
      <c r="K12" s="6">
        <f>SUM($G$2:G12)</f>
        <v>15326358512.707571</v>
      </c>
      <c r="L12">
        <f t="shared" si="1"/>
        <v>827275.0333563746</v>
      </c>
      <c r="M12" s="14">
        <f>L12*IF(E12="",Parameters!$B$2,E12)</f>
        <v>1323640053.3701994</v>
      </c>
      <c r="N12" s="17">
        <f t="shared" si="2"/>
        <v>33223365.339592006</v>
      </c>
      <c r="O12" s="17">
        <f t="shared" si="3"/>
        <v>11644586.87176853</v>
      </c>
    </row>
    <row r="13" spans="1:15">
      <c r="A13" s="2">
        <v>12</v>
      </c>
      <c r="B13" s="2">
        <v>17000000</v>
      </c>
      <c r="C13" s="2">
        <v>1.9430000000000001</v>
      </c>
      <c r="D13" s="2">
        <v>0.82</v>
      </c>
      <c r="E13" s="2">
        <v>1600</v>
      </c>
      <c r="F13" s="2">
        <f>IFERROR(B13*C13*IF(D13="", Parameters!$B$2, D13)/Parameters!$B$6, 0)</f>
        <v>870815.82458565757</v>
      </c>
      <c r="G13" s="13">
        <f>F13*IF(E13="", Parameters!$B$2, E13)</f>
        <v>1393305319.3370521</v>
      </c>
      <c r="H13" s="2">
        <f>G13*Parameters!$B$4</f>
        <v>36225938.30276335</v>
      </c>
      <c r="I13" s="2">
        <f>1/POWER(1+Parameters!$B$5, A13)</f>
        <v>0.31863081771035656</v>
      </c>
      <c r="J13" s="6">
        <f t="shared" si="0"/>
        <v>11542700.343734413</v>
      </c>
      <c r="K13" s="6">
        <f>SUM($G$2:G13)</f>
        <v>16719663832.044622</v>
      </c>
      <c r="L13">
        <f t="shared" si="1"/>
        <v>827275.0333563746</v>
      </c>
      <c r="M13" s="14">
        <f>L13*IF(E13="",Parameters!$B$2,E13)</f>
        <v>1323640053.3701994</v>
      </c>
      <c r="N13" s="17">
        <f t="shared" si="2"/>
        <v>33223365.339592006</v>
      </c>
      <c r="O13" s="17">
        <f t="shared" si="3"/>
        <v>10585988.06524412</v>
      </c>
    </row>
    <row r="14" spans="1:15">
      <c r="A14" s="2">
        <v>13</v>
      </c>
      <c r="B14" s="2">
        <v>17000000</v>
      </c>
      <c r="C14" s="2">
        <v>1.9430000000000001</v>
      </c>
      <c r="D14" s="2">
        <v>0.82</v>
      </c>
      <c r="E14" s="2">
        <v>1600</v>
      </c>
      <c r="F14" s="2">
        <f>IFERROR(B14*C14*IF(D14="", Parameters!$B$2, D14)/Parameters!$B$6, 0)</f>
        <v>870815.82458565757</v>
      </c>
      <c r="G14" s="13">
        <f>F14*IF(E14="", Parameters!$B$2, E14)</f>
        <v>1393305319.3370521</v>
      </c>
      <c r="H14" s="2">
        <f>G14*Parameters!$B$4</f>
        <v>36225938.30276335</v>
      </c>
      <c r="I14" s="2">
        <f>1/POWER(1+Parameters!$B$5, A14)</f>
        <v>0.28966437973668779</v>
      </c>
      <c r="J14" s="6">
        <f t="shared" si="0"/>
        <v>10493363.948849466</v>
      </c>
      <c r="K14" s="6">
        <f>SUM($G$2:G14)</f>
        <v>18112969151.381676</v>
      </c>
      <c r="L14">
        <f t="shared" si="1"/>
        <v>827275.0333563746</v>
      </c>
      <c r="M14" s="14">
        <f>L14*IF(E14="",Parameters!$B$2,E14)</f>
        <v>1323640053.3701994</v>
      </c>
      <c r="N14" s="17">
        <f t="shared" si="2"/>
        <v>33223365.339592006</v>
      </c>
      <c r="O14" s="17">
        <f t="shared" si="3"/>
        <v>9623625.5138582904</v>
      </c>
    </row>
    <row r="15" spans="1:15">
      <c r="A15" s="2">
        <v>14</v>
      </c>
      <c r="B15" s="2">
        <v>17000000</v>
      </c>
      <c r="C15" s="2">
        <v>1.9430000000000001</v>
      </c>
      <c r="D15" s="2">
        <v>0.82</v>
      </c>
      <c r="E15" s="2">
        <v>1600</v>
      </c>
      <c r="F15" s="2">
        <f>IFERROR(B15*C15*IF(D15="", Parameters!$B$2, D15)/Parameters!$B$6, 0)</f>
        <v>870815.82458565757</v>
      </c>
      <c r="G15" s="13">
        <f>F15*IF(E15="", Parameters!$B$2, E15)</f>
        <v>1393305319.3370521</v>
      </c>
      <c r="H15" s="2">
        <f>G15*Parameters!$B$4</f>
        <v>36225938.30276335</v>
      </c>
      <c r="I15" s="2">
        <f>1/POWER(1+Parameters!$B$5, A15)</f>
        <v>0.26333125430607973</v>
      </c>
      <c r="J15" s="6">
        <f t="shared" si="0"/>
        <v>9539421.7716813311</v>
      </c>
      <c r="K15" s="6">
        <f>SUM($G$2:G15)</f>
        <v>19506274470.718727</v>
      </c>
      <c r="L15">
        <f t="shared" si="1"/>
        <v>827275.0333563746</v>
      </c>
      <c r="M15" s="14">
        <f>L15*IF(E15="",Parameters!$B$2,E15)</f>
        <v>1323640053.3701994</v>
      </c>
      <c r="N15" s="17">
        <f t="shared" si="2"/>
        <v>33223365.339592006</v>
      </c>
      <c r="O15" s="17">
        <f t="shared" si="3"/>
        <v>8748750.467143897</v>
      </c>
    </row>
    <row r="16" spans="1:15">
      <c r="A16" s="2">
        <v>15</v>
      </c>
      <c r="B16" s="2">
        <v>17000000</v>
      </c>
      <c r="C16" s="2">
        <v>1.9430000000000001</v>
      </c>
      <c r="D16" s="2">
        <v>0.82</v>
      </c>
      <c r="E16" s="2">
        <v>1600</v>
      </c>
      <c r="F16" s="2">
        <f>IFERROR(B16*C16*IF(D16="", Parameters!$B$2, D16)/Parameters!$B$6, 0)</f>
        <v>870815.82458565757</v>
      </c>
      <c r="G16" s="13">
        <f>F16*IF(E16="", Parameters!$B$2, E16)</f>
        <v>1393305319.3370521</v>
      </c>
      <c r="H16" s="2">
        <f>G16*Parameters!$B$4</f>
        <v>36225938.30276335</v>
      </c>
      <c r="I16" s="2">
        <f>1/POWER(1+Parameters!$B$5, A16)</f>
        <v>0.23939204936916339</v>
      </c>
      <c r="J16" s="6">
        <f t="shared" si="0"/>
        <v>8672201.6106193904</v>
      </c>
      <c r="K16" s="6">
        <f>SUM($G$2:G16)</f>
        <v>20899579790.055779</v>
      </c>
      <c r="L16">
        <f t="shared" si="1"/>
        <v>827275.0333563746</v>
      </c>
      <c r="M16" s="14">
        <f>L16*IF(E16="",Parameters!$B$2,E16)</f>
        <v>1323640053.3701994</v>
      </c>
      <c r="N16" s="17">
        <f t="shared" si="2"/>
        <v>33223365.339592006</v>
      </c>
      <c r="O16" s="17">
        <f t="shared" si="3"/>
        <v>7953409.515585361</v>
      </c>
    </row>
    <row r="17" spans="1:15">
      <c r="A17" s="2">
        <v>16</v>
      </c>
      <c r="B17" s="2">
        <v>17000000</v>
      </c>
      <c r="C17" s="2">
        <v>1.9430000000000001</v>
      </c>
      <c r="D17" s="2">
        <v>0.82</v>
      </c>
      <c r="E17" s="2">
        <v>1600</v>
      </c>
      <c r="F17" s="2">
        <f>IFERROR(B17*C17*IF(D17="", Parameters!$B$2, D17)/Parameters!$B$6, 0)</f>
        <v>870815.82458565757</v>
      </c>
      <c r="G17" s="13">
        <f>F17*IF(E17="", Parameters!$B$2, E17)</f>
        <v>1393305319.3370521</v>
      </c>
      <c r="H17" s="2">
        <f>G17*Parameters!$B$4</f>
        <v>36225938.30276335</v>
      </c>
      <c r="I17" s="2">
        <f>1/POWER(1+Parameters!$B$5, A17)</f>
        <v>0.21762913579014853</v>
      </c>
      <c r="J17" s="6">
        <f t="shared" si="0"/>
        <v>7883819.6460176278</v>
      </c>
      <c r="K17" s="6">
        <f>SUM($G$2:G17)</f>
        <v>22292885109.39283</v>
      </c>
      <c r="L17">
        <f t="shared" si="1"/>
        <v>827275.0333563746</v>
      </c>
      <c r="M17" s="14">
        <f>L17*IF(E17="",Parameters!$B$2,E17)</f>
        <v>1323640053.3701994</v>
      </c>
      <c r="N17" s="17">
        <f t="shared" si="2"/>
        <v>33223365.339592006</v>
      </c>
      <c r="O17" s="17">
        <f t="shared" si="3"/>
        <v>7230372.2868957827</v>
      </c>
    </row>
    <row r="18" spans="1:15">
      <c r="A18" s="2">
        <v>17</v>
      </c>
      <c r="B18" s="2">
        <v>17000000</v>
      </c>
      <c r="C18" s="2">
        <v>1.9430000000000001</v>
      </c>
      <c r="D18" s="2">
        <v>0.82</v>
      </c>
      <c r="E18" s="2">
        <v>1600</v>
      </c>
      <c r="F18" s="2">
        <f>IFERROR(B18*C18*IF(D18="", Parameters!$B$2, D18)/Parameters!$B$6, 0)</f>
        <v>870815.82458565757</v>
      </c>
      <c r="G18" s="13">
        <f>F18*IF(E18="", Parameters!$B$2, E18)</f>
        <v>1393305319.3370521</v>
      </c>
      <c r="H18" s="2">
        <f>G18*Parameters!$B$4</f>
        <v>36225938.30276335</v>
      </c>
      <c r="I18" s="2">
        <f>1/POWER(1+Parameters!$B$5, A18)</f>
        <v>0.19784466890013502</v>
      </c>
      <c r="J18" s="6">
        <f t="shared" si="0"/>
        <v>7167108.7691069348</v>
      </c>
      <c r="K18" s="6">
        <f>SUM($G$2:G18)</f>
        <v>23686190428.729881</v>
      </c>
      <c r="L18">
        <f t="shared" si="1"/>
        <v>827275.0333563746</v>
      </c>
      <c r="M18" s="14">
        <f>L18*IF(E18="",Parameters!$B$2,E18)</f>
        <v>1323640053.3701994</v>
      </c>
      <c r="N18" s="17">
        <f t="shared" si="2"/>
        <v>33223365.339592006</v>
      </c>
      <c r="O18" s="17">
        <f t="shared" si="3"/>
        <v>6573065.7153598024</v>
      </c>
    </row>
    <row r="19" spans="1:15">
      <c r="A19" s="2">
        <v>18</v>
      </c>
      <c r="B19" s="2">
        <v>17000000</v>
      </c>
      <c r="C19" s="2">
        <v>1.9430000000000001</v>
      </c>
      <c r="D19" s="2">
        <v>0.82</v>
      </c>
      <c r="E19" s="2">
        <v>1600</v>
      </c>
      <c r="F19" s="2">
        <f>IFERROR(B19*C19*IF(D19="", Parameters!$B$2, D19)/Parameters!$B$6, 0)</f>
        <v>870815.82458565757</v>
      </c>
      <c r="G19" s="13">
        <f>F19*IF(E19="", Parameters!$B$2, E19)</f>
        <v>1393305319.3370521</v>
      </c>
      <c r="H19" s="2">
        <f>G19*Parameters!$B$4</f>
        <v>36225938.30276335</v>
      </c>
      <c r="I19" s="2">
        <f>1/POWER(1+Parameters!$B$5, A19)</f>
        <v>0.17985878990921364</v>
      </c>
      <c r="J19" s="6">
        <f t="shared" si="0"/>
        <v>6515553.4264608491</v>
      </c>
      <c r="K19" s="6">
        <f>SUM($G$2:G19)</f>
        <v>25079495748.066933</v>
      </c>
      <c r="L19">
        <f t="shared" si="1"/>
        <v>827275.0333563746</v>
      </c>
      <c r="M19" s="14">
        <f>L19*IF(E19="",Parameters!$B$2,E19)</f>
        <v>1323640053.3701994</v>
      </c>
      <c r="N19" s="17">
        <f t="shared" si="2"/>
        <v>33223365.339592006</v>
      </c>
      <c r="O19" s="17">
        <f t="shared" si="3"/>
        <v>5975514.2866907287</v>
      </c>
    </row>
    <row r="20" spans="1:15">
      <c r="A20" s="2">
        <v>19</v>
      </c>
      <c r="B20" s="2">
        <v>17000000</v>
      </c>
      <c r="C20" s="2">
        <v>1.9430000000000001</v>
      </c>
      <c r="D20" s="2">
        <v>0.82</v>
      </c>
      <c r="E20" s="2">
        <v>1600</v>
      </c>
      <c r="F20" s="2">
        <f>IFERROR(B20*C20*IF(D20="", Parameters!$B$2, D20)/Parameters!$B$6, 0)</f>
        <v>870815.82458565757</v>
      </c>
      <c r="G20" s="13">
        <f>F20*IF(E20="", Parameters!$B$2, E20)</f>
        <v>1393305319.3370521</v>
      </c>
      <c r="H20" s="2">
        <f>G20*Parameters!$B$4</f>
        <v>36225938.30276335</v>
      </c>
      <c r="I20" s="2">
        <f>1/POWER(1+Parameters!$B$5, A20)</f>
        <v>0.16350799082655781</v>
      </c>
      <c r="J20" s="6">
        <f t="shared" si="0"/>
        <v>5923230.3876916794</v>
      </c>
      <c r="K20" s="6">
        <f>SUM($G$2:G20)</f>
        <v>26472801067.403984</v>
      </c>
      <c r="L20">
        <f t="shared" si="1"/>
        <v>827275.0333563746</v>
      </c>
      <c r="M20" s="14">
        <f>L20*IF(E20="",Parameters!$B$2,E20)</f>
        <v>1323640053.3701994</v>
      </c>
      <c r="N20" s="17">
        <f t="shared" si="2"/>
        <v>33223365.339592006</v>
      </c>
      <c r="O20" s="17">
        <f t="shared" si="3"/>
        <v>5432285.7151733888</v>
      </c>
    </row>
    <row r="21" spans="1:15">
      <c r="A21" s="2">
        <v>20</v>
      </c>
      <c r="B21" s="2">
        <v>17000000</v>
      </c>
      <c r="C21" s="2">
        <v>1.9430000000000001</v>
      </c>
      <c r="D21" s="2">
        <v>0.82</v>
      </c>
      <c r="E21" s="2">
        <v>1600</v>
      </c>
      <c r="F21" s="2">
        <f>IFERROR(B21*C21*IF(D21="", Parameters!$B$2, D21)/Parameters!$B$6, 0)</f>
        <v>870815.82458565757</v>
      </c>
      <c r="G21" s="13">
        <f>F21*IF(E21="", Parameters!$B$2, E21)</f>
        <v>1393305319.3370521</v>
      </c>
      <c r="H21" s="2">
        <f>G21*Parameters!$B$4</f>
        <v>36225938.30276335</v>
      </c>
      <c r="I21" s="2">
        <f>1/POWER(1+Parameters!$B$5, A21)</f>
        <v>0.14864362802414349</v>
      </c>
      <c r="J21" s="6">
        <f t="shared" si="0"/>
        <v>5384754.8979015276</v>
      </c>
      <c r="K21" s="6">
        <f>SUM($G$2:G21)</f>
        <v>27866106386.741035</v>
      </c>
      <c r="L21">
        <f t="shared" si="1"/>
        <v>827275.0333563746</v>
      </c>
      <c r="M21" s="14">
        <f>L21*IF(E21="",Parameters!$B$2,E21)</f>
        <v>1323640053.3701994</v>
      </c>
      <c r="N21" s="17">
        <f t="shared" si="2"/>
        <v>33223365.339592006</v>
      </c>
      <c r="O21" s="17">
        <f t="shared" si="3"/>
        <v>4938441.5592485359</v>
      </c>
    </row>
    <row r="22" spans="1:15">
      <c r="A22" s="2">
        <v>21</v>
      </c>
      <c r="B22" s="2">
        <v>17000000</v>
      </c>
      <c r="C22" s="2">
        <v>1.9430000000000001</v>
      </c>
      <c r="D22" s="2">
        <v>0.82</v>
      </c>
      <c r="E22" s="2">
        <v>1600</v>
      </c>
      <c r="F22" s="2">
        <f>IFERROR(B22*C22*IF(D22="", Parameters!$B$2, D22)/Parameters!$B$6, 0)</f>
        <v>870815.82458565757</v>
      </c>
      <c r="G22" s="13">
        <f>F22*IF(E22="", Parameters!$B$2, E22)</f>
        <v>1393305319.3370521</v>
      </c>
      <c r="H22" s="2">
        <f>G22*Parameters!$B$4</f>
        <v>36225938.30276335</v>
      </c>
      <c r="I22" s="2">
        <f>1/POWER(1+Parameters!$B$5, A22)</f>
        <v>0.13513057093103953</v>
      </c>
      <c r="J22" s="6">
        <f t="shared" si="0"/>
        <v>4895231.725365025</v>
      </c>
      <c r="K22" s="6">
        <f>SUM($G$2:G22)</f>
        <v>29259411706.078087</v>
      </c>
      <c r="L22">
        <f t="shared" ref="L22:L29" si="4">F22*0.95</f>
        <v>827275.0333563746</v>
      </c>
      <c r="M22" s="14">
        <f>L22*IF(E22="",Parameters!$B$2,E22)</f>
        <v>1323640053.3701994</v>
      </c>
      <c r="N22" s="17">
        <f t="shared" si="2"/>
        <v>33223365.339592006</v>
      </c>
      <c r="O22" s="17">
        <f t="shared" ref="O22:O29" si="5">N22*I22</f>
        <v>4489492.3265895778</v>
      </c>
    </row>
    <row r="23" spans="1:15">
      <c r="A23" s="2">
        <v>22</v>
      </c>
      <c r="B23" s="2">
        <v>17000000</v>
      </c>
      <c r="C23" s="2">
        <v>1.9430000000000001</v>
      </c>
      <c r="D23" s="2">
        <v>0.82</v>
      </c>
      <c r="E23" s="2">
        <v>1600</v>
      </c>
      <c r="F23" s="2">
        <f>IFERROR(B23*C23*IF(D23="", Parameters!$B$2, D23)/Parameters!$B$6, 0)</f>
        <v>870815.82458565757</v>
      </c>
      <c r="G23" s="13">
        <f>F23*IF(E23="", Parameters!$B$2, E23)</f>
        <v>1393305319.3370521</v>
      </c>
      <c r="H23" s="2">
        <f>G23*Parameters!$B$4</f>
        <v>36225938.30276335</v>
      </c>
      <c r="I23" s="2">
        <f>1/POWER(1+Parameters!$B$5, A23)</f>
        <v>0.12284597357367227</v>
      </c>
      <c r="J23" s="6">
        <f t="shared" si="0"/>
        <v>4450210.6594227487</v>
      </c>
      <c r="K23" s="6">
        <f>SUM($G$2:G23)</f>
        <v>30652717025.415138</v>
      </c>
      <c r="L23">
        <f t="shared" si="4"/>
        <v>827275.0333563746</v>
      </c>
      <c r="M23" s="14">
        <f>L23*IF(E23="",Parameters!$B$2,E23)</f>
        <v>1323640053.3701994</v>
      </c>
      <c r="N23" s="17">
        <f t="shared" si="2"/>
        <v>33223365.339592006</v>
      </c>
      <c r="O23" s="17">
        <f t="shared" si="5"/>
        <v>4081356.6605359791</v>
      </c>
    </row>
    <row r="24" spans="1:15">
      <c r="A24" s="2">
        <v>23</v>
      </c>
      <c r="B24" s="2">
        <v>17000000</v>
      </c>
      <c r="C24" s="2">
        <v>1.9430000000000001</v>
      </c>
      <c r="D24" s="2">
        <v>0.82</v>
      </c>
      <c r="E24" s="2">
        <v>1600</v>
      </c>
      <c r="F24" s="2">
        <f>IFERROR(B24*C24*IF(D24="", Parameters!$B$2, D24)/Parameters!$B$6, 0)</f>
        <v>870815.82458565757</v>
      </c>
      <c r="G24" s="13">
        <f>F24*IF(E24="", Parameters!$B$2, E24)</f>
        <v>1393305319.3370521</v>
      </c>
      <c r="H24" s="2">
        <f>G24*Parameters!$B$4</f>
        <v>36225938.30276335</v>
      </c>
      <c r="I24" s="2">
        <f>1/POWER(1+Parameters!$B$5, A24)</f>
        <v>0.11167815779424752</v>
      </c>
      <c r="J24" s="6">
        <f t="shared" si="0"/>
        <v>4045646.0540206805</v>
      </c>
      <c r="K24" s="6">
        <f>SUM($G$2:G24)</f>
        <v>32046022344.75219</v>
      </c>
      <c r="L24">
        <f t="shared" si="4"/>
        <v>827275.0333563746</v>
      </c>
      <c r="M24" s="14">
        <f>L24*IF(E24="",Parameters!$B$2,E24)</f>
        <v>1323640053.3701994</v>
      </c>
      <c r="N24" s="17">
        <f t="shared" si="2"/>
        <v>33223365.339592006</v>
      </c>
      <c r="O24" s="17">
        <f t="shared" si="5"/>
        <v>3710324.2368508899</v>
      </c>
    </row>
    <row r="25" spans="1:15">
      <c r="A25" s="2">
        <v>24</v>
      </c>
      <c r="B25" s="2">
        <v>17000000</v>
      </c>
      <c r="C25" s="2">
        <v>1.9430000000000001</v>
      </c>
      <c r="D25" s="2">
        <v>0.82</v>
      </c>
      <c r="E25" s="2">
        <v>1600</v>
      </c>
      <c r="F25" s="2">
        <f>IFERROR(B25*C25*IF(D25="", Parameters!$B$2, D25)/Parameters!$B$6, 0)</f>
        <v>870815.82458565757</v>
      </c>
      <c r="G25" s="13">
        <f>F25*IF(E25="", Parameters!$B$2, E25)</f>
        <v>1393305319.3370521</v>
      </c>
      <c r="H25" s="2">
        <f>G25*Parameters!$B$4</f>
        <v>36225938.30276335</v>
      </c>
      <c r="I25" s="2">
        <f>1/POWER(1+Parameters!$B$5, A25)</f>
        <v>0.10152559799477048</v>
      </c>
      <c r="J25" s="6">
        <f t="shared" si="0"/>
        <v>3677860.0491097099</v>
      </c>
      <c r="K25" s="6">
        <f>SUM($G$2:G25)</f>
        <v>33439327664.089241</v>
      </c>
      <c r="L25">
        <f t="shared" si="4"/>
        <v>827275.0333563746</v>
      </c>
      <c r="M25" s="14">
        <f>L25*IF(E25="",Parameters!$B$2,E25)</f>
        <v>1323640053.3701994</v>
      </c>
      <c r="N25" s="17">
        <f t="shared" si="2"/>
        <v>33223365.339592006</v>
      </c>
      <c r="O25" s="17">
        <f t="shared" si="5"/>
        <v>3373022.0335008092</v>
      </c>
    </row>
    <row r="26" spans="1:15">
      <c r="A26" s="2">
        <v>25</v>
      </c>
      <c r="B26" s="2">
        <v>17000000</v>
      </c>
      <c r="C26" s="2">
        <v>1.9430000000000001</v>
      </c>
      <c r="D26" s="2">
        <v>0.82</v>
      </c>
      <c r="E26" s="2">
        <v>1600</v>
      </c>
      <c r="F26" s="2">
        <f>IFERROR(B26*C26*IF(D26="", Parameters!$B$2, D26)/Parameters!$B$6, 0)</f>
        <v>870815.82458565757</v>
      </c>
      <c r="G26" s="13">
        <f>F26*IF(E26="", Parameters!$B$2, E26)</f>
        <v>1393305319.3370521</v>
      </c>
      <c r="H26" s="2">
        <f>G26*Parameters!$B$4</f>
        <v>36225938.30276335</v>
      </c>
      <c r="I26" s="2">
        <f>1/POWER(1+Parameters!$B$5, A26)</f>
        <v>9.2295998177064048E-2</v>
      </c>
      <c r="J26" s="6">
        <f t="shared" si="0"/>
        <v>3343509.1355542811</v>
      </c>
      <c r="K26" s="6">
        <f>SUM($G$2:G26)</f>
        <v>34832632983.426292</v>
      </c>
      <c r="L26">
        <f t="shared" si="4"/>
        <v>827275.0333563746</v>
      </c>
      <c r="M26" s="14">
        <f>L26*IF(E26="",Parameters!$B$2,E26)</f>
        <v>1323640053.3701994</v>
      </c>
      <c r="N26" s="17">
        <f t="shared" si="2"/>
        <v>33223365.339592006</v>
      </c>
      <c r="O26" s="17">
        <f t="shared" si="5"/>
        <v>3066383.6668189168</v>
      </c>
    </row>
    <row r="27" spans="1:15">
      <c r="A27" s="2">
        <v>26</v>
      </c>
      <c r="B27" s="2">
        <v>17000000</v>
      </c>
      <c r="C27" s="2">
        <v>1.9430000000000001</v>
      </c>
      <c r="D27" s="2">
        <v>0.82</v>
      </c>
      <c r="E27" s="2">
        <v>1600</v>
      </c>
      <c r="F27" s="2">
        <f>IFERROR(B27*C27*IF(D27="", Parameters!$B$2, D27)/Parameters!$B$6, 0)</f>
        <v>870815.82458565757</v>
      </c>
      <c r="G27" s="13">
        <f>F27*IF(E27="", Parameters!$B$2, E27)</f>
        <v>1393305319.3370521</v>
      </c>
      <c r="H27" s="2">
        <f>G27*Parameters!$B$4</f>
        <v>36225938.30276335</v>
      </c>
      <c r="I27" s="2">
        <f>1/POWER(1+Parameters!$B$5, A27)</f>
        <v>8.3905452888240042E-2</v>
      </c>
      <c r="J27" s="6">
        <f t="shared" si="0"/>
        <v>3039553.7595948009</v>
      </c>
      <c r="K27" s="6">
        <f>SUM($G$2:G27)</f>
        <v>36225938302.763344</v>
      </c>
      <c r="L27">
        <f t="shared" si="4"/>
        <v>827275.0333563746</v>
      </c>
      <c r="M27" s="14">
        <f>L27*IF(E27="",Parameters!$B$2,E27)</f>
        <v>1323640053.3701994</v>
      </c>
      <c r="N27" s="17">
        <f t="shared" si="2"/>
        <v>33223365.339592006</v>
      </c>
      <c r="O27" s="17">
        <f t="shared" si="5"/>
        <v>2787621.5152899241</v>
      </c>
    </row>
    <row r="28" spans="1:15">
      <c r="A28" s="2">
        <v>27</v>
      </c>
      <c r="B28" s="2">
        <v>17000000</v>
      </c>
      <c r="C28" s="2">
        <v>1.9430000000000001</v>
      </c>
      <c r="D28" s="2">
        <v>0.82</v>
      </c>
      <c r="E28" s="2">
        <v>1600</v>
      </c>
      <c r="F28" s="2">
        <f>IFERROR(B28*C28*IF(D28="", Parameters!$B$2, D28)/Parameters!$B$6, 0)</f>
        <v>870815.82458565757</v>
      </c>
      <c r="G28" s="13">
        <f>F28*IF(E28="", Parameters!$B$2, E28)</f>
        <v>1393305319.3370521</v>
      </c>
      <c r="H28" s="2">
        <f>G28*Parameters!$B$4</f>
        <v>36225938.30276335</v>
      </c>
      <c r="I28" s="2">
        <f>1/POWER(1+Parameters!$B$5, A28)</f>
        <v>7.6277684443854576E-2</v>
      </c>
      <c r="J28" s="6">
        <f t="shared" si="0"/>
        <v>2763230.6905407277</v>
      </c>
      <c r="K28" s="6">
        <f>SUM($G$2:G28)</f>
        <v>37619243622.100395</v>
      </c>
      <c r="L28">
        <f t="shared" si="4"/>
        <v>827275.0333563746</v>
      </c>
      <c r="M28" s="14">
        <f>L28*IF(E28="",Parameters!$B$2,E28)</f>
        <v>1323640053.3701994</v>
      </c>
      <c r="N28" s="17">
        <f t="shared" si="2"/>
        <v>33223365.339592006</v>
      </c>
      <c r="O28" s="17">
        <f t="shared" si="5"/>
        <v>2534201.3775362945</v>
      </c>
    </row>
    <row r="29" spans="1:15">
      <c r="A29" s="2">
        <v>28</v>
      </c>
      <c r="B29" s="2">
        <v>17000000</v>
      </c>
      <c r="C29" s="2">
        <v>1.9430000000000001</v>
      </c>
      <c r="D29" s="2">
        <v>0.82</v>
      </c>
      <c r="E29" s="2">
        <v>1600</v>
      </c>
      <c r="F29" s="2">
        <f>IFERROR(B29*C29*IF(D29="", Parameters!$B$2, D29)/Parameters!$B$6, 0)</f>
        <v>870815.82458565757</v>
      </c>
      <c r="G29" s="13">
        <f>F29*IF(E29="", Parameters!$B$2, E29)</f>
        <v>1393305319.3370521</v>
      </c>
      <c r="H29" s="2">
        <f>G29*Parameters!$B$4</f>
        <v>36225938.30276335</v>
      </c>
      <c r="I29" s="2">
        <f>1/POWER(1+Parameters!$B$5, A29)</f>
        <v>6.9343349494413245E-2</v>
      </c>
      <c r="J29" s="6">
        <f t="shared" si="0"/>
        <v>2512027.9004915706</v>
      </c>
      <c r="K29" s="6">
        <f>SUM($G$2:G29)</f>
        <v>39012548941.437447</v>
      </c>
      <c r="L29">
        <f t="shared" si="4"/>
        <v>827275.0333563746</v>
      </c>
      <c r="M29" s="14">
        <f>L29*IF(E29="",Parameters!$B$2,E29)</f>
        <v>1323640053.3701994</v>
      </c>
      <c r="N29" s="17">
        <f t="shared" si="2"/>
        <v>33223365.339592006</v>
      </c>
      <c r="O29" s="17">
        <f t="shared" si="5"/>
        <v>2303819.434123904</v>
      </c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9" spans="1:15">
      <c r="F39" s="3" t="s">
        <v>15</v>
      </c>
      <c r="G39" s="10">
        <f>SUM(G2:G33)</f>
        <v>39012548941.437447</v>
      </c>
      <c r="H39">
        <f>SUM(H2:H33)</f>
        <v>1014326272.4773737</v>
      </c>
      <c r="J39" s="11">
        <f>SUM(J2:J29)</f>
        <v>337139104.0227176</v>
      </c>
      <c r="O39" s="11">
        <f>SUM(O2:O29)</f>
        <v>309195459.05468076</v>
      </c>
    </row>
    <row r="40" spans="1:15">
      <c r="F40" s="3" t="s">
        <v>16</v>
      </c>
      <c r="G40" s="10">
        <f>G39</f>
        <v>39012548941.437447</v>
      </c>
    </row>
    <row r="41" spans="1:15">
      <c r="F41" s="3" t="s">
        <v>17</v>
      </c>
      <c r="G41" s="10">
        <f>H39</f>
        <v>1014326272.4773737</v>
      </c>
    </row>
    <row r="42" spans="1:15">
      <c r="F42" s="3" t="s">
        <v>9</v>
      </c>
      <c r="G42" s="10">
        <f>J39</f>
        <v>337139104.0227176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7E0F-1EF1-4B0A-9F8D-C222DC54BAB7}">
  <sheetPr codeName="Sheet20"/>
  <dimension ref="A1:O42"/>
  <sheetViews>
    <sheetView topLeftCell="A7" workbookViewId="0">
      <pane xSplit="1" topLeftCell="E1" activePane="topRight" state="frozen"/>
      <selection pane="topRight" activeCell="M39" sqref="M39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18000000</v>
      </c>
      <c r="C2" s="2">
        <v>1.859</v>
      </c>
      <c r="D2" s="2">
        <v>0.82</v>
      </c>
      <c r="E2" s="2">
        <v>1600</v>
      </c>
      <c r="F2" s="2">
        <f>IFERROR(B2*C2*IF(D2="", Parameters!$B$2, D2)/Parameters!$B$6, 0)</f>
        <v>882178.53296252829</v>
      </c>
      <c r="G2" s="13">
        <f>F2*IF(E2="", Parameters!$B$2, E2)</f>
        <v>1411485652.7400453</v>
      </c>
      <c r="H2" s="2">
        <f>G2*Parameters!$B$4</f>
        <v>36698626.971241176</v>
      </c>
      <c r="I2" s="2">
        <f>1/POWER(1+Parameters!$B$5, A2)</f>
        <v>0.90909090909090906</v>
      </c>
      <c r="J2" s="6">
        <f t="shared" ref="J2:J33" si="0">H2*I2</f>
        <v>33362388.155673794</v>
      </c>
      <c r="K2" s="6">
        <f>SUM($G$2:G2)</f>
        <v>1411485652.7400453</v>
      </c>
      <c r="L2">
        <f>F2*0.95</f>
        <v>838069.60631440184</v>
      </c>
      <c r="M2" s="14">
        <f>L2*IF(E2="",Parameters!$B$2,E2)</f>
        <v>1340911370.1030428</v>
      </c>
      <c r="N2" s="17">
        <f>M2*0.0251</f>
        <v>33656875.389586374</v>
      </c>
      <c r="O2" s="17">
        <f>N2*I2</f>
        <v>30597159.445078522</v>
      </c>
    </row>
    <row r="3" spans="1:15">
      <c r="A3" s="2">
        <v>2</v>
      </c>
      <c r="B3" s="2">
        <v>18000000</v>
      </c>
      <c r="C3" s="2">
        <v>1.859</v>
      </c>
      <c r="D3" s="2">
        <v>0.82</v>
      </c>
      <c r="E3" s="2">
        <v>1600</v>
      </c>
      <c r="F3" s="2">
        <f>IFERROR(B3*C3*IF(D3="", Parameters!$B$2, D3)/Parameters!$B$6, 0)</f>
        <v>882178.53296252829</v>
      </c>
      <c r="G3" s="13">
        <f>F3*IF(E3="", Parameters!$B$2, E3)</f>
        <v>1411485652.7400453</v>
      </c>
      <c r="H3" s="2">
        <f>G3*Parameters!$B$4</f>
        <v>36698626.971241176</v>
      </c>
      <c r="I3" s="2">
        <f>1/POWER(1+Parameters!$B$5, A3)</f>
        <v>0.82644628099173545</v>
      </c>
      <c r="J3" s="6">
        <f t="shared" si="0"/>
        <v>30329443.777885266</v>
      </c>
      <c r="K3" s="6">
        <f>SUM($G$2:G3)</f>
        <v>2822971305.4800906</v>
      </c>
      <c r="L3">
        <f t="shared" ref="L3:L33" si="1">F3*0.95</f>
        <v>838069.60631440184</v>
      </c>
      <c r="M3" s="14">
        <f>L3*IF(E3="",Parameters!$B$2,E3)</f>
        <v>1340911370.1030428</v>
      </c>
      <c r="N3" s="17">
        <f t="shared" ref="N3:N35" si="2">M3*0.0251</f>
        <v>33656875.389586374</v>
      </c>
      <c r="O3" s="17">
        <f t="shared" ref="O3:O29" si="3">N3*I3</f>
        <v>27815599.495525926</v>
      </c>
    </row>
    <row r="4" spans="1:15">
      <c r="A4" s="2">
        <v>3</v>
      </c>
      <c r="B4" s="2">
        <v>18000000</v>
      </c>
      <c r="C4" s="2">
        <v>1.859</v>
      </c>
      <c r="D4" s="2">
        <v>0.82</v>
      </c>
      <c r="E4" s="2">
        <v>1600</v>
      </c>
      <c r="F4" s="2">
        <f>IFERROR(B4*C4*IF(D4="", Parameters!$B$2, D4)/Parameters!$B$6, 0)</f>
        <v>882178.53296252829</v>
      </c>
      <c r="G4" s="13">
        <f>F4*IF(E4="", Parameters!$B$2, E4)</f>
        <v>1411485652.7400453</v>
      </c>
      <c r="H4" s="2">
        <f>G4*Parameters!$B$4</f>
        <v>36698626.971241176</v>
      </c>
      <c r="I4" s="2">
        <f>1/POWER(1+Parameters!$B$5, A4)</f>
        <v>0.75131480090157754</v>
      </c>
      <c r="J4" s="6">
        <f t="shared" si="0"/>
        <v>27572221.616259329</v>
      </c>
      <c r="K4" s="6">
        <f>SUM($G$2:G4)</f>
        <v>4234456958.2201357</v>
      </c>
      <c r="L4">
        <f t="shared" si="1"/>
        <v>838069.60631440184</v>
      </c>
      <c r="M4" s="14">
        <f>L4*IF(E4="",Parameters!$B$2,E4)</f>
        <v>1340911370.1030428</v>
      </c>
      <c r="N4" s="17">
        <f t="shared" si="2"/>
        <v>33656875.389586374</v>
      </c>
      <c r="O4" s="17">
        <f t="shared" si="3"/>
        <v>25286908.63229629</v>
      </c>
    </row>
    <row r="5" spans="1:15">
      <c r="A5" s="2">
        <v>4</v>
      </c>
      <c r="B5" s="2">
        <v>18000000</v>
      </c>
      <c r="C5" s="2">
        <v>1.859</v>
      </c>
      <c r="D5" s="2">
        <v>0.82</v>
      </c>
      <c r="E5" s="2">
        <v>1600</v>
      </c>
      <c r="F5" s="2">
        <f>IFERROR(B5*C5*IF(D5="", Parameters!$B$2, D5)/Parameters!$B$6, 0)</f>
        <v>882178.53296252829</v>
      </c>
      <c r="G5" s="13">
        <f>F5*IF(E5="", Parameters!$B$2, E5)</f>
        <v>1411485652.7400453</v>
      </c>
      <c r="H5" s="2">
        <f>G5*Parameters!$B$4</f>
        <v>36698626.971241176</v>
      </c>
      <c r="I5" s="2">
        <f>1/POWER(1+Parameters!$B$5, A5)</f>
        <v>0.68301345536507052</v>
      </c>
      <c r="J5" s="6">
        <f t="shared" si="0"/>
        <v>25065656.014781207</v>
      </c>
      <c r="K5" s="6">
        <f>SUM($G$2:G5)</f>
        <v>5645942610.9601812</v>
      </c>
      <c r="L5">
        <f t="shared" si="1"/>
        <v>838069.60631440184</v>
      </c>
      <c r="M5" s="14">
        <f>L5*IF(E5="",Parameters!$B$2,E5)</f>
        <v>1340911370.1030428</v>
      </c>
      <c r="N5" s="17">
        <f t="shared" si="2"/>
        <v>33656875.389586374</v>
      </c>
      <c r="O5" s="17">
        <f t="shared" si="3"/>
        <v>22988098.756632995</v>
      </c>
    </row>
    <row r="6" spans="1:15">
      <c r="A6" s="2">
        <v>5</v>
      </c>
      <c r="B6" s="2">
        <v>18000000</v>
      </c>
      <c r="C6" s="2">
        <v>1.859</v>
      </c>
      <c r="D6" s="2">
        <v>0.82</v>
      </c>
      <c r="E6" s="2">
        <v>1600</v>
      </c>
      <c r="F6" s="2">
        <f>IFERROR(B6*C6*IF(D6="", Parameters!$B$2, D6)/Parameters!$B$6, 0)</f>
        <v>882178.53296252829</v>
      </c>
      <c r="G6" s="13">
        <f>F6*IF(E6="", Parameters!$B$2, E6)</f>
        <v>1411485652.7400453</v>
      </c>
      <c r="H6" s="2">
        <f>G6*Parameters!$B$4</f>
        <v>36698626.971241176</v>
      </c>
      <c r="I6" s="2">
        <f>1/POWER(1+Parameters!$B$5, A6)</f>
        <v>0.62092132305915493</v>
      </c>
      <c r="J6" s="6">
        <f t="shared" si="0"/>
        <v>22786960.013437457</v>
      </c>
      <c r="K6" s="6">
        <f>SUM($G$2:G6)</f>
        <v>7057428263.7002268</v>
      </c>
      <c r="L6">
        <f t="shared" si="1"/>
        <v>838069.60631440184</v>
      </c>
      <c r="M6" s="14">
        <f>L6*IF(E6="",Parameters!$B$2,E6)</f>
        <v>1340911370.1030428</v>
      </c>
      <c r="N6" s="17">
        <f t="shared" si="2"/>
        <v>33656875.389586374</v>
      </c>
      <c r="O6" s="17">
        <f t="shared" si="3"/>
        <v>20898271.596939083</v>
      </c>
    </row>
    <row r="7" spans="1:15">
      <c r="A7" s="2">
        <v>6</v>
      </c>
      <c r="B7" s="2">
        <v>18000000</v>
      </c>
      <c r="C7" s="2">
        <v>1.859</v>
      </c>
      <c r="D7" s="2">
        <v>0.82</v>
      </c>
      <c r="E7" s="2">
        <v>1600</v>
      </c>
      <c r="F7" s="2">
        <f>IFERROR(B7*C7*IF(D7="", Parameters!$B$2, D7)/Parameters!$B$6, 0)</f>
        <v>882178.53296252829</v>
      </c>
      <c r="G7" s="13">
        <f>F7*IF(E7="", Parameters!$B$2, E7)</f>
        <v>1411485652.7400453</v>
      </c>
      <c r="H7" s="2">
        <f>G7*Parameters!$B$4</f>
        <v>36698626.971241176</v>
      </c>
      <c r="I7" s="2">
        <f>1/POWER(1+Parameters!$B$5, A7)</f>
        <v>0.56447393005377722</v>
      </c>
      <c r="J7" s="6">
        <f t="shared" si="0"/>
        <v>20715418.194034055</v>
      </c>
      <c r="K7" s="6">
        <f>SUM($G$2:G7)</f>
        <v>8468913916.4402723</v>
      </c>
      <c r="L7">
        <f t="shared" si="1"/>
        <v>838069.60631440184</v>
      </c>
      <c r="M7" s="14">
        <f>L7*IF(E7="",Parameters!$B$2,E7)</f>
        <v>1340911370.1030428</v>
      </c>
      <c r="N7" s="17">
        <f t="shared" si="2"/>
        <v>33656875.389586374</v>
      </c>
      <c r="O7" s="17">
        <f t="shared" si="3"/>
        <v>18998428.724490076</v>
      </c>
    </row>
    <row r="8" spans="1:15">
      <c r="A8" s="2">
        <v>7</v>
      </c>
      <c r="B8" s="2">
        <v>18000000</v>
      </c>
      <c r="C8" s="2">
        <v>1.859</v>
      </c>
      <c r="D8" s="2">
        <v>0.82</v>
      </c>
      <c r="E8" s="2">
        <v>1600</v>
      </c>
      <c r="F8" s="2">
        <f>IFERROR(B8*C8*IF(D8="", Parameters!$B$2, D8)/Parameters!$B$6, 0)</f>
        <v>882178.53296252829</v>
      </c>
      <c r="G8" s="13">
        <f>F8*IF(E8="", Parameters!$B$2, E8)</f>
        <v>1411485652.7400453</v>
      </c>
      <c r="H8" s="2">
        <f>G8*Parameters!$B$4</f>
        <v>36698626.971241176</v>
      </c>
      <c r="I8" s="2">
        <f>1/POWER(1+Parameters!$B$5, A8)</f>
        <v>0.51315811823070645</v>
      </c>
      <c r="J8" s="6">
        <f t="shared" si="0"/>
        <v>18832198.358212773</v>
      </c>
      <c r="K8" s="6">
        <f>SUM($G$2:G8)</f>
        <v>9880399569.1803169</v>
      </c>
      <c r="L8">
        <f t="shared" si="1"/>
        <v>838069.60631440184</v>
      </c>
      <c r="M8" s="14">
        <f>L8*IF(E8="",Parameters!$B$2,E8)</f>
        <v>1340911370.1030428</v>
      </c>
      <c r="N8" s="17">
        <f t="shared" si="2"/>
        <v>33656875.389586374</v>
      </c>
      <c r="O8" s="17">
        <f t="shared" si="3"/>
        <v>17271298.840445518</v>
      </c>
    </row>
    <row r="9" spans="1:15">
      <c r="A9" s="2">
        <v>8</v>
      </c>
      <c r="B9" s="2">
        <v>18000000</v>
      </c>
      <c r="C9" s="2">
        <v>1.859</v>
      </c>
      <c r="D9" s="2">
        <v>0.82</v>
      </c>
      <c r="E9" s="2">
        <v>1600</v>
      </c>
      <c r="F9" s="2">
        <f>IFERROR(B9*C9*IF(D9="", Parameters!$B$2, D9)/Parameters!$B$6, 0)</f>
        <v>882178.53296252829</v>
      </c>
      <c r="G9" s="13">
        <f>F9*IF(E9="", Parameters!$B$2, E9)</f>
        <v>1411485652.7400453</v>
      </c>
      <c r="H9" s="2">
        <f>G9*Parameters!$B$4</f>
        <v>36698626.971241176</v>
      </c>
      <c r="I9" s="2">
        <f>1/POWER(1+Parameters!$B$5, A9)</f>
        <v>0.46650738020973315</v>
      </c>
      <c r="J9" s="6">
        <f t="shared" si="0"/>
        <v>17120180.325647976</v>
      </c>
      <c r="K9" s="6">
        <f>SUM($G$2:G9)</f>
        <v>11291885221.920362</v>
      </c>
      <c r="L9">
        <f t="shared" si="1"/>
        <v>838069.60631440184</v>
      </c>
      <c r="M9" s="14">
        <f>L9*IF(E9="",Parameters!$B$2,E9)</f>
        <v>1340911370.1030428</v>
      </c>
      <c r="N9" s="17">
        <f t="shared" si="2"/>
        <v>33656875.389586374</v>
      </c>
      <c r="O9" s="17">
        <f t="shared" si="3"/>
        <v>15701180.764041381</v>
      </c>
    </row>
    <row r="10" spans="1:15">
      <c r="A10" s="2">
        <v>9</v>
      </c>
      <c r="B10" s="2">
        <v>18000000</v>
      </c>
      <c r="C10" s="2">
        <v>1.859</v>
      </c>
      <c r="D10" s="2">
        <v>0.82</v>
      </c>
      <c r="E10" s="2">
        <v>1600</v>
      </c>
      <c r="F10" s="2">
        <f>IFERROR(B10*C10*IF(D10="", Parameters!$B$2, D10)/Parameters!$B$6, 0)</f>
        <v>882178.53296252829</v>
      </c>
      <c r="G10" s="13">
        <f>F10*IF(E10="", Parameters!$B$2, E10)</f>
        <v>1411485652.7400453</v>
      </c>
      <c r="H10" s="2">
        <f>G10*Parameters!$B$4</f>
        <v>36698626.971241176</v>
      </c>
      <c r="I10" s="2">
        <f>1/POWER(1+Parameters!$B$5, A10)</f>
        <v>0.42409761837248466</v>
      </c>
      <c r="J10" s="6">
        <f t="shared" si="0"/>
        <v>15563800.296043614</v>
      </c>
      <c r="K10" s="6">
        <f>SUM($G$2:G10)</f>
        <v>12703370874.660408</v>
      </c>
      <c r="L10">
        <f t="shared" si="1"/>
        <v>838069.60631440184</v>
      </c>
      <c r="M10" s="14">
        <f>L10*IF(E10="",Parameters!$B$2,E10)</f>
        <v>1340911370.1030428</v>
      </c>
      <c r="N10" s="17">
        <f t="shared" si="2"/>
        <v>33656875.389586374</v>
      </c>
      <c r="O10" s="17">
        <f t="shared" si="3"/>
        <v>14273800.694583073</v>
      </c>
    </row>
    <row r="11" spans="1:15">
      <c r="A11" s="2">
        <v>10</v>
      </c>
      <c r="B11" s="2">
        <v>18000000</v>
      </c>
      <c r="C11" s="2">
        <v>1.859</v>
      </c>
      <c r="D11" s="2">
        <v>0.82</v>
      </c>
      <c r="E11" s="2">
        <v>1600</v>
      </c>
      <c r="F11" s="2">
        <f>IFERROR(B11*C11*IF(D11="", Parameters!$B$2, D11)/Parameters!$B$6, 0)</f>
        <v>882178.53296252829</v>
      </c>
      <c r="G11" s="13">
        <f>F11*IF(E11="", Parameters!$B$2, E11)</f>
        <v>1411485652.7400453</v>
      </c>
      <c r="H11" s="2">
        <f>G11*Parameters!$B$4</f>
        <v>36698626.971241176</v>
      </c>
      <c r="I11" s="2">
        <f>1/POWER(1+Parameters!$B$5, A11)</f>
        <v>0.38554328942953148</v>
      </c>
      <c r="J11" s="6">
        <f t="shared" si="0"/>
        <v>14148909.360039648</v>
      </c>
      <c r="K11" s="6">
        <f>SUM($G$2:G11)</f>
        <v>14114856527.400454</v>
      </c>
      <c r="L11">
        <f t="shared" si="1"/>
        <v>838069.60631440184</v>
      </c>
      <c r="M11" s="14">
        <f>L11*IF(E11="",Parameters!$B$2,E11)</f>
        <v>1340911370.1030428</v>
      </c>
      <c r="N11" s="17">
        <f t="shared" si="2"/>
        <v>33656875.389586374</v>
      </c>
      <c r="O11" s="17">
        <f t="shared" si="3"/>
        <v>12976182.449620975</v>
      </c>
    </row>
    <row r="12" spans="1:15">
      <c r="A12" s="2">
        <v>11</v>
      </c>
      <c r="B12" s="2">
        <v>18000000</v>
      </c>
      <c r="C12" s="2">
        <v>1.859</v>
      </c>
      <c r="D12" s="2">
        <v>0.82</v>
      </c>
      <c r="E12" s="2">
        <v>1600</v>
      </c>
      <c r="F12" s="2">
        <f>IFERROR(B12*C12*IF(D12="", Parameters!$B$2, D12)/Parameters!$B$6, 0)</f>
        <v>882178.53296252829</v>
      </c>
      <c r="G12" s="13">
        <f>F12*IF(E12="", Parameters!$B$2, E12)</f>
        <v>1411485652.7400453</v>
      </c>
      <c r="H12" s="2">
        <f>G12*Parameters!$B$4</f>
        <v>36698626.971241176</v>
      </c>
      <c r="I12" s="2">
        <f>1/POWER(1+Parameters!$B$5, A12)</f>
        <v>0.3504938994813922</v>
      </c>
      <c r="J12" s="6">
        <f t="shared" si="0"/>
        <v>12862644.872763313</v>
      </c>
      <c r="K12" s="6">
        <f>SUM($G$2:G12)</f>
        <v>15526342180.140499</v>
      </c>
      <c r="L12">
        <f t="shared" si="1"/>
        <v>838069.60631440184</v>
      </c>
      <c r="M12" s="14">
        <f>L12*IF(E12="",Parameters!$B$2,E12)</f>
        <v>1340911370.1030428</v>
      </c>
      <c r="N12" s="17">
        <f t="shared" si="2"/>
        <v>33656875.389586374</v>
      </c>
      <c r="O12" s="17">
        <f t="shared" si="3"/>
        <v>11796529.499655429</v>
      </c>
    </row>
    <row r="13" spans="1:15">
      <c r="A13" s="2">
        <v>12</v>
      </c>
      <c r="B13" s="2">
        <v>18000000</v>
      </c>
      <c r="C13" s="2">
        <v>1.859</v>
      </c>
      <c r="D13" s="2">
        <v>0.82</v>
      </c>
      <c r="E13" s="2">
        <v>1600</v>
      </c>
      <c r="F13" s="2">
        <f>IFERROR(B13*C13*IF(D13="", Parameters!$B$2, D13)/Parameters!$B$6, 0)</f>
        <v>882178.53296252829</v>
      </c>
      <c r="G13" s="13">
        <f>F13*IF(E13="", Parameters!$B$2, E13)</f>
        <v>1411485652.7400453</v>
      </c>
      <c r="H13" s="2">
        <f>G13*Parameters!$B$4</f>
        <v>36698626.971241176</v>
      </c>
      <c r="I13" s="2">
        <f>1/POWER(1+Parameters!$B$5, A13)</f>
        <v>0.31863081771035656</v>
      </c>
      <c r="J13" s="6">
        <f t="shared" si="0"/>
        <v>11693313.520693922</v>
      </c>
      <c r="K13" s="6">
        <f>SUM($G$2:G13)</f>
        <v>16937827832.880545</v>
      </c>
      <c r="L13">
        <f t="shared" si="1"/>
        <v>838069.60631440184</v>
      </c>
      <c r="M13" s="14">
        <f>L13*IF(E13="",Parameters!$B$2,E13)</f>
        <v>1340911370.1030428</v>
      </c>
      <c r="N13" s="17">
        <f t="shared" si="2"/>
        <v>33656875.389586374</v>
      </c>
      <c r="O13" s="17">
        <f t="shared" si="3"/>
        <v>10724117.726959482</v>
      </c>
    </row>
    <row r="14" spans="1:15">
      <c r="A14" s="2">
        <v>13</v>
      </c>
      <c r="B14" s="2">
        <v>18000000</v>
      </c>
      <c r="C14" s="2">
        <v>1.859</v>
      </c>
      <c r="D14" s="2">
        <v>0.82</v>
      </c>
      <c r="E14" s="2">
        <v>1600</v>
      </c>
      <c r="F14" s="2">
        <f>IFERROR(B14*C14*IF(D14="", Parameters!$B$2, D14)/Parameters!$B$6, 0)</f>
        <v>882178.53296252829</v>
      </c>
      <c r="G14" s="13">
        <f>F14*IF(E14="", Parameters!$B$2, E14)</f>
        <v>1411485652.7400453</v>
      </c>
      <c r="H14" s="2">
        <f>G14*Parameters!$B$4</f>
        <v>36698626.971241176</v>
      </c>
      <c r="I14" s="2">
        <f>1/POWER(1+Parameters!$B$5, A14)</f>
        <v>0.28966437973668779</v>
      </c>
      <c r="J14" s="6">
        <f t="shared" si="0"/>
        <v>10630285.018812656</v>
      </c>
      <c r="K14" s="6">
        <f>SUM($G$2:G14)</f>
        <v>18349313485.62059</v>
      </c>
      <c r="L14">
        <f t="shared" si="1"/>
        <v>838069.60631440184</v>
      </c>
      <c r="M14" s="14">
        <f>L14*IF(E14="",Parameters!$B$2,E14)</f>
        <v>1340911370.1030428</v>
      </c>
      <c r="N14" s="17">
        <f t="shared" si="2"/>
        <v>33656875.389586374</v>
      </c>
      <c r="O14" s="17">
        <f t="shared" si="3"/>
        <v>9749197.9335995298</v>
      </c>
    </row>
    <row r="15" spans="1:15">
      <c r="A15" s="2">
        <v>14</v>
      </c>
      <c r="B15" s="2">
        <v>18000000</v>
      </c>
      <c r="C15" s="2">
        <v>1.859</v>
      </c>
      <c r="D15" s="2">
        <v>0.82</v>
      </c>
      <c r="E15" s="2">
        <v>1600</v>
      </c>
      <c r="F15" s="2">
        <f>IFERROR(B15*C15*IF(D15="", Parameters!$B$2, D15)/Parameters!$B$6, 0)</f>
        <v>882178.53296252829</v>
      </c>
      <c r="G15" s="13">
        <f>F15*IF(E15="", Parameters!$B$2, E15)</f>
        <v>1411485652.7400453</v>
      </c>
      <c r="H15" s="2">
        <f>G15*Parameters!$B$4</f>
        <v>36698626.971241176</v>
      </c>
      <c r="I15" s="2">
        <f>1/POWER(1+Parameters!$B$5, A15)</f>
        <v>0.26333125430607973</v>
      </c>
      <c r="J15" s="6">
        <f t="shared" si="0"/>
        <v>9663895.4716478661</v>
      </c>
      <c r="K15" s="6">
        <f>SUM($G$2:G15)</f>
        <v>19760799138.360634</v>
      </c>
      <c r="L15">
        <f t="shared" si="1"/>
        <v>838069.60631440184</v>
      </c>
      <c r="M15" s="14">
        <f>L15*IF(E15="",Parameters!$B$2,E15)</f>
        <v>1340911370.1030428</v>
      </c>
      <c r="N15" s="17">
        <f t="shared" si="2"/>
        <v>33656875.389586374</v>
      </c>
      <c r="O15" s="17">
        <f t="shared" si="3"/>
        <v>8862907.2123632059</v>
      </c>
    </row>
    <row r="16" spans="1:15">
      <c r="A16" s="2">
        <v>15</v>
      </c>
      <c r="B16" s="2">
        <v>18000000</v>
      </c>
      <c r="C16" s="2">
        <v>1.859</v>
      </c>
      <c r="D16" s="2">
        <v>0.82</v>
      </c>
      <c r="E16" s="2">
        <v>1600</v>
      </c>
      <c r="F16" s="2">
        <f>IFERROR(B16*C16*IF(D16="", Parameters!$B$2, D16)/Parameters!$B$6, 0)</f>
        <v>882178.53296252829</v>
      </c>
      <c r="G16" s="13">
        <f>F16*IF(E16="", Parameters!$B$2, E16)</f>
        <v>1411485652.7400453</v>
      </c>
      <c r="H16" s="2">
        <f>G16*Parameters!$B$4</f>
        <v>36698626.971241176</v>
      </c>
      <c r="I16" s="2">
        <f>1/POWER(1+Parameters!$B$5, A16)</f>
        <v>0.23939204936916339</v>
      </c>
      <c r="J16" s="6">
        <f t="shared" si="0"/>
        <v>8785359.5196798779</v>
      </c>
      <c r="K16" s="6">
        <f>SUM($G$2:G16)</f>
        <v>21172284791.100677</v>
      </c>
      <c r="L16">
        <f t="shared" si="1"/>
        <v>838069.60631440184</v>
      </c>
      <c r="M16" s="14">
        <f>L16*IF(E16="",Parameters!$B$2,E16)</f>
        <v>1340911370.1030428</v>
      </c>
      <c r="N16" s="17">
        <f t="shared" si="2"/>
        <v>33656875.389586374</v>
      </c>
      <c r="O16" s="17">
        <f t="shared" si="3"/>
        <v>8057188.3748756414</v>
      </c>
    </row>
    <row r="17" spans="1:15">
      <c r="A17" s="2">
        <v>16</v>
      </c>
      <c r="B17" s="2">
        <v>18000000</v>
      </c>
      <c r="C17" s="2">
        <v>1.859</v>
      </c>
      <c r="D17" s="2">
        <v>0.82</v>
      </c>
      <c r="E17" s="2">
        <v>1600</v>
      </c>
      <c r="F17" s="2">
        <f>IFERROR(B17*C17*IF(D17="", Parameters!$B$2, D17)/Parameters!$B$6, 0)</f>
        <v>882178.53296252829</v>
      </c>
      <c r="G17" s="13">
        <f>F17*IF(E17="", Parameters!$B$2, E17)</f>
        <v>1411485652.7400453</v>
      </c>
      <c r="H17" s="2">
        <f>G17*Parameters!$B$4</f>
        <v>36698626.971241176</v>
      </c>
      <c r="I17" s="2">
        <f>1/POWER(1+Parameters!$B$5, A17)</f>
        <v>0.21762913579014853</v>
      </c>
      <c r="J17" s="6">
        <f t="shared" si="0"/>
        <v>7986690.472436253</v>
      </c>
      <c r="K17" s="6">
        <f>SUM($G$2:G17)</f>
        <v>22583770443.840721</v>
      </c>
      <c r="L17">
        <f t="shared" si="1"/>
        <v>838069.60631440184</v>
      </c>
      <c r="M17" s="14">
        <f>L17*IF(E17="",Parameters!$B$2,E17)</f>
        <v>1340911370.1030428</v>
      </c>
      <c r="N17" s="17">
        <f t="shared" si="2"/>
        <v>33656875.389586374</v>
      </c>
      <c r="O17" s="17">
        <f t="shared" si="3"/>
        <v>7324716.7044324009</v>
      </c>
    </row>
    <row r="18" spans="1:15">
      <c r="A18" s="2">
        <v>17</v>
      </c>
      <c r="B18" s="2">
        <v>18000000</v>
      </c>
      <c r="C18" s="2">
        <v>1.859</v>
      </c>
      <c r="D18" s="2">
        <v>0.82</v>
      </c>
      <c r="E18" s="2">
        <v>1600</v>
      </c>
      <c r="F18" s="2">
        <f>IFERROR(B18*C18*IF(D18="", Parameters!$B$2, D18)/Parameters!$B$6, 0)</f>
        <v>882178.53296252829</v>
      </c>
      <c r="G18" s="13">
        <f>F18*IF(E18="", Parameters!$B$2, E18)</f>
        <v>1411485652.7400453</v>
      </c>
      <c r="H18" s="2">
        <f>G18*Parameters!$B$4</f>
        <v>36698626.971241176</v>
      </c>
      <c r="I18" s="2">
        <f>1/POWER(1+Parameters!$B$5, A18)</f>
        <v>0.19784466890013502</v>
      </c>
      <c r="J18" s="6">
        <f t="shared" si="0"/>
        <v>7260627.7022147756</v>
      </c>
      <c r="K18" s="6">
        <f>SUM($G$2:G18)</f>
        <v>23995256096.580765</v>
      </c>
      <c r="L18">
        <f t="shared" si="1"/>
        <v>838069.60631440184</v>
      </c>
      <c r="M18" s="14">
        <f>L18*IF(E18="",Parameters!$B$2,E18)</f>
        <v>1340911370.1030428</v>
      </c>
      <c r="N18" s="17">
        <f t="shared" si="2"/>
        <v>33656875.389586374</v>
      </c>
      <c r="O18" s="17">
        <f t="shared" si="3"/>
        <v>6658833.3676658189</v>
      </c>
    </row>
    <row r="19" spans="1:15">
      <c r="A19" s="2">
        <v>18</v>
      </c>
      <c r="B19" s="2">
        <v>18000000</v>
      </c>
      <c r="C19" s="2">
        <v>1.859</v>
      </c>
      <c r="D19" s="2">
        <v>0.82</v>
      </c>
      <c r="E19" s="2">
        <v>1600</v>
      </c>
      <c r="F19" s="2">
        <f>IFERROR(B19*C19*IF(D19="", Parameters!$B$2, D19)/Parameters!$B$6, 0)</f>
        <v>882178.53296252829</v>
      </c>
      <c r="G19" s="13">
        <f>F19*IF(E19="", Parameters!$B$2, E19)</f>
        <v>1411485652.7400453</v>
      </c>
      <c r="H19" s="2">
        <f>G19*Parameters!$B$4</f>
        <v>36698626.971241176</v>
      </c>
      <c r="I19" s="2">
        <f>1/POWER(1+Parameters!$B$5, A19)</f>
        <v>0.17985878990921364</v>
      </c>
      <c r="J19" s="6">
        <f t="shared" si="0"/>
        <v>6600570.6383770676</v>
      </c>
      <c r="K19" s="6">
        <f>SUM($G$2:G19)</f>
        <v>25406741749.320808</v>
      </c>
      <c r="L19">
        <f t="shared" si="1"/>
        <v>838069.60631440184</v>
      </c>
      <c r="M19" s="14">
        <f>L19*IF(E19="",Parameters!$B$2,E19)</f>
        <v>1340911370.1030428</v>
      </c>
      <c r="N19" s="17">
        <f t="shared" si="2"/>
        <v>33656875.389586374</v>
      </c>
      <c r="O19" s="17">
        <f t="shared" si="3"/>
        <v>6053484.8796961987</v>
      </c>
    </row>
    <row r="20" spans="1:15">
      <c r="A20" s="2">
        <v>19</v>
      </c>
      <c r="B20" s="2">
        <v>18000000</v>
      </c>
      <c r="C20" s="2">
        <v>1.859</v>
      </c>
      <c r="D20" s="2">
        <v>0.82</v>
      </c>
      <c r="E20" s="2">
        <v>1600</v>
      </c>
      <c r="F20" s="2">
        <f>IFERROR(B20*C20*IF(D20="", Parameters!$B$2, D20)/Parameters!$B$6, 0)</f>
        <v>882178.53296252829</v>
      </c>
      <c r="G20" s="13">
        <f>F20*IF(E20="", Parameters!$B$2, E20)</f>
        <v>1411485652.7400453</v>
      </c>
      <c r="H20" s="2">
        <f>G20*Parameters!$B$4</f>
        <v>36698626.971241176</v>
      </c>
      <c r="I20" s="2">
        <f>1/POWER(1+Parameters!$B$5, A20)</f>
        <v>0.16350799082655781</v>
      </c>
      <c r="J20" s="6">
        <f t="shared" si="0"/>
        <v>6000518.762160969</v>
      </c>
      <c r="K20" s="6">
        <f>SUM($G$2:G20)</f>
        <v>26818227402.060852</v>
      </c>
      <c r="L20">
        <f t="shared" si="1"/>
        <v>838069.60631440184</v>
      </c>
      <c r="M20" s="14">
        <f>L20*IF(E20="",Parameters!$B$2,E20)</f>
        <v>1340911370.1030428</v>
      </c>
      <c r="N20" s="17">
        <f t="shared" si="2"/>
        <v>33656875.389586374</v>
      </c>
      <c r="O20" s="17">
        <f t="shared" si="3"/>
        <v>5503168.0724510886</v>
      </c>
    </row>
    <row r="21" spans="1:15">
      <c r="A21" s="2">
        <v>20</v>
      </c>
      <c r="B21" s="2">
        <v>18000000</v>
      </c>
      <c r="C21" s="2">
        <v>1.859</v>
      </c>
      <c r="D21" s="2">
        <v>0.82</v>
      </c>
      <c r="E21" s="2">
        <v>1600</v>
      </c>
      <c r="F21" s="2">
        <f>IFERROR(B21*C21*IF(D21="", Parameters!$B$2, D21)/Parameters!$B$6, 0)</f>
        <v>882178.53296252829</v>
      </c>
      <c r="G21" s="13">
        <f>F21*IF(E21="", Parameters!$B$2, E21)</f>
        <v>1411485652.7400453</v>
      </c>
      <c r="H21" s="2">
        <f>G21*Parameters!$B$4</f>
        <v>36698626.971241176</v>
      </c>
      <c r="I21" s="2">
        <f>1/POWER(1+Parameters!$B$5, A21)</f>
        <v>0.14864362802414349</v>
      </c>
      <c r="J21" s="6">
        <f t="shared" si="0"/>
        <v>5455017.0565099735</v>
      </c>
      <c r="K21" s="6">
        <f>SUM($G$2:G21)</f>
        <v>28229713054.800896</v>
      </c>
      <c r="L21">
        <f t="shared" si="1"/>
        <v>838069.60631440184</v>
      </c>
      <c r="M21" s="14">
        <f>L21*IF(E21="",Parameters!$B$2,E21)</f>
        <v>1340911370.1030428</v>
      </c>
      <c r="N21" s="17">
        <f t="shared" si="2"/>
        <v>33656875.389586374</v>
      </c>
      <c r="O21" s="17">
        <f t="shared" si="3"/>
        <v>5002880.0658646263</v>
      </c>
    </row>
    <row r="22" spans="1:15">
      <c r="A22" s="2">
        <v>21</v>
      </c>
      <c r="B22" s="2">
        <v>18000000</v>
      </c>
      <c r="C22" s="2">
        <v>1.859</v>
      </c>
      <c r="D22" s="2">
        <v>0.82</v>
      </c>
      <c r="E22" s="2">
        <v>1600</v>
      </c>
      <c r="F22" s="2">
        <f>IFERROR(B22*C22*IF(D22="", Parameters!$B$2, D22)/Parameters!$B$6, 0)</f>
        <v>882178.53296252829</v>
      </c>
      <c r="G22" s="13">
        <f>F22*IF(E22="", Parameters!$B$2, E22)</f>
        <v>1411485652.7400453</v>
      </c>
      <c r="H22" s="2">
        <f>G22*Parameters!$B$4</f>
        <v>36698626.971241176</v>
      </c>
      <c r="I22" s="2">
        <f>1/POWER(1+Parameters!$B$5, A22)</f>
        <v>0.13513057093103953</v>
      </c>
      <c r="J22" s="6">
        <f t="shared" si="0"/>
        <v>4959106.4150090665</v>
      </c>
      <c r="K22" s="6">
        <f>SUM($G$2:G22)</f>
        <v>29641198707.540939</v>
      </c>
      <c r="L22">
        <f t="shared" si="1"/>
        <v>838069.60631440184</v>
      </c>
      <c r="M22" s="14">
        <f>L22*IF(E22="",Parameters!$B$2,E22)</f>
        <v>1340911370.1030428</v>
      </c>
      <c r="N22" s="17">
        <f t="shared" si="2"/>
        <v>33656875.389586374</v>
      </c>
      <c r="O22" s="17">
        <f t="shared" si="3"/>
        <v>4548072.7871496603</v>
      </c>
    </row>
    <row r="23" spans="1:15">
      <c r="A23" s="2">
        <v>22</v>
      </c>
      <c r="B23" s="2">
        <v>18000000</v>
      </c>
      <c r="C23" s="2">
        <v>1.859</v>
      </c>
      <c r="D23" s="2">
        <v>0.82</v>
      </c>
      <c r="E23" s="2">
        <v>1600</v>
      </c>
      <c r="F23" s="2">
        <f>IFERROR(B23*C23*IF(D23="", Parameters!$B$2, D23)/Parameters!$B$6, 0)</f>
        <v>882178.53296252829</v>
      </c>
      <c r="G23" s="13">
        <f>F23*IF(E23="", Parameters!$B$2, E23)</f>
        <v>1411485652.7400453</v>
      </c>
      <c r="H23" s="2">
        <f>G23*Parameters!$B$4</f>
        <v>36698626.971241176</v>
      </c>
      <c r="I23" s="2">
        <f>1/POWER(1+Parameters!$B$5, A23)</f>
        <v>0.12284597357367227</v>
      </c>
      <c r="J23" s="6">
        <f t="shared" si="0"/>
        <v>4508278.5590991499</v>
      </c>
      <c r="K23" s="6">
        <f>SUM($G$2:G23)</f>
        <v>31052684360.280983</v>
      </c>
      <c r="L23">
        <f t="shared" si="1"/>
        <v>838069.60631440184</v>
      </c>
      <c r="M23" s="14">
        <f>L23*IF(E23="",Parameters!$B$2,E23)</f>
        <v>1340911370.1030428</v>
      </c>
      <c r="N23" s="17">
        <f t="shared" si="2"/>
        <v>33656875.389586374</v>
      </c>
      <c r="O23" s="17">
        <f t="shared" si="3"/>
        <v>4134611.6246815086</v>
      </c>
    </row>
    <row r="24" spans="1:15">
      <c r="A24" s="2">
        <v>23</v>
      </c>
      <c r="B24" s="2">
        <v>18000000</v>
      </c>
      <c r="C24" s="2">
        <v>1.859</v>
      </c>
      <c r="D24" s="2">
        <v>0.82</v>
      </c>
      <c r="E24" s="2">
        <v>1600</v>
      </c>
      <c r="F24" s="2">
        <f>IFERROR(B24*C24*IF(D24="", Parameters!$B$2, D24)/Parameters!$B$6, 0)</f>
        <v>882178.53296252829</v>
      </c>
      <c r="G24" s="13">
        <f>F24*IF(E24="", Parameters!$B$2, E24)</f>
        <v>1411485652.7400453</v>
      </c>
      <c r="H24" s="2">
        <f>G24*Parameters!$B$4</f>
        <v>36698626.971241176</v>
      </c>
      <c r="I24" s="2">
        <f>1/POWER(1+Parameters!$B$5, A24)</f>
        <v>0.11167815779424752</v>
      </c>
      <c r="J24" s="6">
        <f t="shared" si="0"/>
        <v>4098435.0537264999</v>
      </c>
      <c r="K24" s="6">
        <f>SUM($G$2:G24)</f>
        <v>32464170013.021027</v>
      </c>
      <c r="L24">
        <f t="shared" si="1"/>
        <v>838069.60631440184</v>
      </c>
      <c r="M24" s="14">
        <f>L24*IF(E24="",Parameters!$B$2,E24)</f>
        <v>1340911370.1030428</v>
      </c>
      <c r="N24" s="17">
        <f t="shared" si="2"/>
        <v>33656875.389586374</v>
      </c>
      <c r="O24" s="17">
        <f t="shared" si="3"/>
        <v>3758737.8406195529</v>
      </c>
    </row>
    <row r="25" spans="1:15">
      <c r="A25" s="2">
        <v>24</v>
      </c>
      <c r="B25" s="2">
        <v>18000000</v>
      </c>
      <c r="C25" s="2">
        <v>1.859</v>
      </c>
      <c r="D25" s="2">
        <v>0.82</v>
      </c>
      <c r="E25" s="2">
        <v>1600</v>
      </c>
      <c r="F25" s="2">
        <f>IFERROR(B25*C25*IF(D25="", Parameters!$B$2, D25)/Parameters!$B$6, 0)</f>
        <v>882178.53296252829</v>
      </c>
      <c r="G25" s="13">
        <f>F25*IF(E25="", Parameters!$B$2, E25)</f>
        <v>1411485652.7400453</v>
      </c>
      <c r="H25" s="2">
        <f>G25*Parameters!$B$4</f>
        <v>36698626.971241176</v>
      </c>
      <c r="I25" s="2">
        <f>1/POWER(1+Parameters!$B$5, A25)</f>
        <v>0.10152559799477048</v>
      </c>
      <c r="J25" s="6">
        <f t="shared" si="0"/>
        <v>3725850.0488422732</v>
      </c>
      <c r="K25" s="6">
        <f>SUM($G$2:G25)</f>
        <v>33875655665.76107</v>
      </c>
      <c r="L25">
        <f t="shared" si="1"/>
        <v>838069.60631440184</v>
      </c>
      <c r="M25" s="14">
        <f>L25*IF(E25="",Parameters!$B$2,E25)</f>
        <v>1340911370.1030428</v>
      </c>
      <c r="N25" s="17">
        <f t="shared" si="2"/>
        <v>33656875.389586374</v>
      </c>
      <c r="O25" s="17">
        <f t="shared" si="3"/>
        <v>3417034.4005632303</v>
      </c>
    </row>
    <row r="26" spans="1:15">
      <c r="A26" s="2">
        <v>25</v>
      </c>
      <c r="B26" s="2">
        <v>18000000</v>
      </c>
      <c r="C26" s="2">
        <v>1.859</v>
      </c>
      <c r="D26" s="2">
        <v>0.82</v>
      </c>
      <c r="E26" s="2">
        <v>1600</v>
      </c>
      <c r="F26" s="2">
        <f>IFERROR(B26*C26*IF(D26="", Parameters!$B$2, D26)/Parameters!$B$6, 0)</f>
        <v>882178.53296252829</v>
      </c>
      <c r="G26" s="13">
        <f>F26*IF(E26="", Parameters!$B$2, E26)</f>
        <v>1411485652.7400453</v>
      </c>
      <c r="H26" s="2">
        <f>G26*Parameters!$B$4</f>
        <v>36698626.971241176</v>
      </c>
      <c r="I26" s="2">
        <f>1/POWER(1+Parameters!$B$5, A26)</f>
        <v>9.2295998177064048E-2</v>
      </c>
      <c r="J26" s="6">
        <f t="shared" si="0"/>
        <v>3387136.408038429</v>
      </c>
      <c r="K26" s="6">
        <f>SUM($G$2:G26)</f>
        <v>35287141318.501114</v>
      </c>
      <c r="L26">
        <f t="shared" si="1"/>
        <v>838069.60631440184</v>
      </c>
      <c r="M26" s="14">
        <f>L26*IF(E26="",Parameters!$B$2,E26)</f>
        <v>1340911370.1030428</v>
      </c>
      <c r="N26" s="17">
        <f t="shared" si="2"/>
        <v>33656875.389586374</v>
      </c>
      <c r="O26" s="17">
        <f t="shared" si="3"/>
        <v>3106394.9096029359</v>
      </c>
    </row>
    <row r="27" spans="1:15">
      <c r="A27" s="2">
        <v>26</v>
      </c>
      <c r="B27" s="2">
        <v>18000000</v>
      </c>
      <c r="C27" s="2">
        <v>1.859</v>
      </c>
      <c r="D27" s="2">
        <v>0.82</v>
      </c>
      <c r="E27" s="2">
        <v>1600</v>
      </c>
      <c r="F27" s="2">
        <f>IFERROR(B27*C27*IF(D27="", Parameters!$B$2, D27)/Parameters!$B$6, 0)</f>
        <v>882178.53296252829</v>
      </c>
      <c r="G27" s="13">
        <f>F27*IF(E27="", Parameters!$B$2, E27)</f>
        <v>1411485652.7400453</v>
      </c>
      <c r="H27" s="2">
        <f>G27*Parameters!$B$4</f>
        <v>36698626.971241176</v>
      </c>
      <c r="I27" s="2">
        <f>1/POWER(1+Parameters!$B$5, A27)</f>
        <v>8.3905452888240042E-2</v>
      </c>
      <c r="J27" s="6">
        <f t="shared" si="0"/>
        <v>3079214.9163985718</v>
      </c>
      <c r="K27" s="6">
        <f>SUM($G$2:G27)</f>
        <v>36698626971.241158</v>
      </c>
      <c r="L27">
        <f t="shared" si="1"/>
        <v>838069.60631440184</v>
      </c>
      <c r="M27" s="14">
        <f>L27*IF(E27="",Parameters!$B$2,E27)</f>
        <v>1340911370.1030428</v>
      </c>
      <c r="N27" s="17">
        <f t="shared" si="2"/>
        <v>33656875.389586374</v>
      </c>
      <c r="O27" s="17">
        <f t="shared" si="3"/>
        <v>2823995.3723663054</v>
      </c>
    </row>
    <row r="28" spans="1:15">
      <c r="A28" s="2">
        <v>27</v>
      </c>
      <c r="B28" s="2">
        <v>18000000</v>
      </c>
      <c r="C28" s="2">
        <v>1.859</v>
      </c>
      <c r="D28" s="2">
        <v>0.82</v>
      </c>
      <c r="E28" s="2">
        <v>1600</v>
      </c>
      <c r="F28" s="2">
        <f>IFERROR(B28*C28*IF(D28="", Parameters!$B$2, D28)/Parameters!$B$6, 0)</f>
        <v>882178.53296252829</v>
      </c>
      <c r="G28" s="13">
        <f>F28*IF(E28="", Parameters!$B$2, E28)</f>
        <v>1411485652.7400453</v>
      </c>
      <c r="H28" s="2">
        <f>G28*Parameters!$B$4</f>
        <v>36698626.971241176</v>
      </c>
      <c r="I28" s="2">
        <f>1/POWER(1+Parameters!$B$5, A28)</f>
        <v>7.6277684443854576E-2</v>
      </c>
      <c r="J28" s="6">
        <f t="shared" si="0"/>
        <v>2799286.2876350651</v>
      </c>
      <c r="K28" s="6">
        <f>SUM($G$2:G28)</f>
        <v>38110112623.981201</v>
      </c>
      <c r="L28">
        <f t="shared" si="1"/>
        <v>838069.60631440184</v>
      </c>
      <c r="M28" s="14">
        <f>L28*IF(E28="",Parameters!$B$2,E28)</f>
        <v>1340911370.1030428</v>
      </c>
      <c r="N28" s="17">
        <f t="shared" si="2"/>
        <v>33656875.389586374</v>
      </c>
      <c r="O28" s="17">
        <f t="shared" si="3"/>
        <v>2567268.5203330046</v>
      </c>
    </row>
    <row r="29" spans="1:15">
      <c r="A29" s="2">
        <v>28</v>
      </c>
      <c r="B29" s="2">
        <v>18000000</v>
      </c>
      <c r="C29" s="2">
        <v>1.859</v>
      </c>
      <c r="D29" s="2">
        <v>0.82</v>
      </c>
      <c r="E29" s="2">
        <v>1600</v>
      </c>
      <c r="F29" s="2">
        <f>IFERROR(B29*C29*IF(D29="", Parameters!$B$2, D29)/Parameters!$B$6, 0)</f>
        <v>882178.53296252829</v>
      </c>
      <c r="G29" s="13">
        <f>F29*IF(E29="", Parameters!$B$2, E29)</f>
        <v>1411485652.7400453</v>
      </c>
      <c r="H29" s="2">
        <f>G29*Parameters!$B$4</f>
        <v>36698626.971241176</v>
      </c>
      <c r="I29" s="2">
        <f>1/POWER(1+Parameters!$B$5, A29)</f>
        <v>6.9343349494413245E-2</v>
      </c>
      <c r="J29" s="6">
        <f t="shared" si="0"/>
        <v>2544805.7160318769</v>
      </c>
      <c r="K29" s="6">
        <f>SUM($G$2:G29)</f>
        <v>39521598276.721245</v>
      </c>
      <c r="L29">
        <f t="shared" si="1"/>
        <v>838069.60631440184</v>
      </c>
      <c r="M29" s="14">
        <f>L29*IF(E29="",Parameters!$B$2,E29)</f>
        <v>1340911370.1030428</v>
      </c>
      <c r="N29" s="17">
        <f t="shared" si="2"/>
        <v>33656875.389586374</v>
      </c>
      <c r="O29" s="17">
        <f t="shared" si="3"/>
        <v>2333880.4730300037</v>
      </c>
    </row>
    <row r="30" spans="1:15">
      <c r="A30" s="2">
        <v>29</v>
      </c>
      <c r="B30" s="2">
        <v>18000000</v>
      </c>
      <c r="C30" s="2">
        <v>1.859</v>
      </c>
      <c r="D30" s="2">
        <v>0.82</v>
      </c>
      <c r="E30" s="2">
        <v>1600</v>
      </c>
      <c r="F30" s="2">
        <f>IFERROR(B30*C30*IF(D30="", Parameters!$B$2, D30)/Parameters!$B$6, 0)</f>
        <v>882178.53296252829</v>
      </c>
      <c r="G30" s="13">
        <f>F30*IF(E30="", Parameters!$B$2, E30)</f>
        <v>1411485652.7400453</v>
      </c>
      <c r="H30" s="2">
        <f>G30*Parameters!$B$4</f>
        <v>36698626.971241176</v>
      </c>
      <c r="I30" s="2">
        <f>1/POWER(1+Parameters!$B$5, A30)</f>
        <v>6.3039408631284766E-2</v>
      </c>
      <c r="J30" s="6">
        <f t="shared" si="0"/>
        <v>2313459.7418471607</v>
      </c>
      <c r="K30" s="6">
        <f>SUM($G$2:G30)</f>
        <v>40933083929.461288</v>
      </c>
      <c r="L30">
        <f t="shared" ref="L30:L35" si="4">F30*0.95</f>
        <v>838069.60631440184</v>
      </c>
      <c r="M30" s="14">
        <f>L30*IF(E30="",Parameters!$B$2,E30)</f>
        <v>1340911370.1030428</v>
      </c>
      <c r="N30" s="17">
        <f t="shared" si="2"/>
        <v>33656875.389586374</v>
      </c>
      <c r="O30" s="17">
        <f t="shared" ref="O30:O35" si="5">N30*I30</f>
        <v>2121709.5209363671</v>
      </c>
    </row>
    <row r="31" spans="1:15">
      <c r="A31" s="2">
        <v>30</v>
      </c>
      <c r="B31" s="2">
        <v>18000000</v>
      </c>
      <c r="C31" s="2">
        <v>1.859</v>
      </c>
      <c r="D31" s="2">
        <v>0.82</v>
      </c>
      <c r="E31" s="2">
        <v>1600</v>
      </c>
      <c r="F31" s="2">
        <f>IFERROR(B31*C31*IF(D31="", Parameters!$B$2, D31)/Parameters!$B$6, 0)</f>
        <v>882178.53296252829</v>
      </c>
      <c r="G31" s="13">
        <f>F31*IF(E31="", Parameters!$B$2, E31)</f>
        <v>1411485652.7400453</v>
      </c>
      <c r="H31" s="2">
        <f>G31*Parameters!$B$4</f>
        <v>36698626.971241176</v>
      </c>
      <c r="I31" s="2">
        <f>1/POWER(1+Parameters!$B$5, A31)</f>
        <v>5.7308553301167964E-2</v>
      </c>
      <c r="J31" s="6">
        <f t="shared" si="0"/>
        <v>2103145.2198610553</v>
      </c>
      <c r="K31" s="6">
        <f>SUM($G$2:G31)</f>
        <v>42344569582.201332</v>
      </c>
      <c r="L31">
        <f t="shared" si="4"/>
        <v>838069.60631440184</v>
      </c>
      <c r="M31" s="14">
        <f>L31*IF(E31="",Parameters!$B$2,E31)</f>
        <v>1340911370.1030428</v>
      </c>
      <c r="N31" s="17">
        <f t="shared" si="2"/>
        <v>33656875.389586374</v>
      </c>
      <c r="O31" s="17">
        <f t="shared" si="5"/>
        <v>1928826.837214879</v>
      </c>
    </row>
    <row r="32" spans="1:15">
      <c r="A32" s="5">
        <v>31</v>
      </c>
      <c r="B32" s="2">
        <v>18000000</v>
      </c>
      <c r="C32" s="2">
        <v>1.859</v>
      </c>
      <c r="D32" s="2">
        <v>0.82</v>
      </c>
      <c r="E32" s="2">
        <v>1600</v>
      </c>
      <c r="F32" s="2">
        <f>IFERROR(B32*C32*IF(D32="", Parameters!$B$2, D32)/Parameters!$B$6, 0)</f>
        <v>882178.53296252829</v>
      </c>
      <c r="G32" s="13">
        <f>F32*IF(E32="", Parameters!$B$2, E32)</f>
        <v>1411485652.7400453</v>
      </c>
      <c r="H32" s="2">
        <f>G32*Parameters!$B$4</f>
        <v>36698626.971241176</v>
      </c>
      <c r="I32" s="2">
        <f>1/POWER(1+Parameters!$B$5, A32)</f>
        <v>5.2098684819243603E-2</v>
      </c>
      <c r="J32" s="6">
        <f t="shared" si="0"/>
        <v>1911950.1998736865</v>
      </c>
      <c r="K32" s="6">
        <f>SUM($G$2:G32)</f>
        <v>43756055234.941376</v>
      </c>
      <c r="L32">
        <f t="shared" si="4"/>
        <v>838069.60631440184</v>
      </c>
      <c r="M32" s="14">
        <f>L32*IF(E32="",Parameters!$B$2,E32)</f>
        <v>1340911370.1030428</v>
      </c>
      <c r="N32" s="17">
        <f t="shared" si="2"/>
        <v>33656875.389586374</v>
      </c>
      <c r="O32" s="17">
        <f t="shared" si="5"/>
        <v>1753478.9429226173</v>
      </c>
    </row>
    <row r="33" spans="1:15">
      <c r="A33" s="5">
        <v>32</v>
      </c>
      <c r="B33" s="2">
        <v>18000000</v>
      </c>
      <c r="C33" s="2">
        <v>1.859</v>
      </c>
      <c r="D33" s="2">
        <v>0.82</v>
      </c>
      <c r="E33" s="2">
        <v>1600</v>
      </c>
      <c r="F33" s="2">
        <f>IFERROR(B33*C33*IF(D33="", Parameters!$B$2, D33)/Parameters!$B$6, 0)</f>
        <v>882178.53296252829</v>
      </c>
      <c r="G33" s="13">
        <f>F33*IF(E33="", Parameters!$B$2, E33)</f>
        <v>1411485652.7400453</v>
      </c>
      <c r="H33" s="2">
        <f>G33*Parameters!$B$4</f>
        <v>36698626.971241176</v>
      </c>
      <c r="I33" s="2">
        <f>1/POWER(1+Parameters!$B$5, A33)</f>
        <v>4.7362440744766907E-2</v>
      </c>
      <c r="J33" s="6">
        <f t="shared" si="0"/>
        <v>1738136.5453397147</v>
      </c>
      <c r="K33" s="6">
        <f>SUM($G$2:G33)</f>
        <v>45167540887.681419</v>
      </c>
      <c r="L33">
        <f t="shared" si="4"/>
        <v>838069.60631440184</v>
      </c>
      <c r="M33" s="14">
        <f>L33*IF(E33="",Parameters!$B$2,E33)</f>
        <v>1340911370.1030428</v>
      </c>
      <c r="N33" s="17">
        <f t="shared" si="2"/>
        <v>33656875.389586374</v>
      </c>
      <c r="O33" s="17">
        <f t="shared" si="5"/>
        <v>1594071.7662932882</v>
      </c>
    </row>
    <row r="34" spans="1:15">
      <c r="A34" s="5">
        <v>33</v>
      </c>
      <c r="B34" s="2">
        <v>18000000</v>
      </c>
      <c r="C34" s="2">
        <v>1.859</v>
      </c>
      <c r="D34" s="2">
        <v>0.82</v>
      </c>
      <c r="E34" s="2">
        <v>1600</v>
      </c>
      <c r="F34" s="2">
        <f>IFERROR(B34*C34*IF(D34="", Parameters!$B$2, D34)/Parameters!$B$6, 0)</f>
        <v>882178.53296252829</v>
      </c>
      <c r="G34" s="13">
        <f>F34*IF(E34="", Parameters!$B$2, E34)</f>
        <v>1411485652.7400453</v>
      </c>
      <c r="H34" s="2">
        <f>G34*Parameters!$B$4</f>
        <v>36698626.971241176</v>
      </c>
      <c r="I34" s="2">
        <f>1/POWER(1+Parameters!$B$5, A34)</f>
        <v>4.3056764313424457E-2</v>
      </c>
      <c r="J34" s="6">
        <f t="shared" ref="J34:J35" si="6">H34*I34</f>
        <v>1580124.1321270133</v>
      </c>
      <c r="K34" s="6">
        <f>SUM($G$2:G34)</f>
        <v>46579026540.421463</v>
      </c>
      <c r="L34">
        <f t="shared" si="4"/>
        <v>838069.60631440184</v>
      </c>
      <c r="M34" s="14">
        <f>L34*IF(E34="",Parameters!$B$2,E34)</f>
        <v>1340911370.1030428</v>
      </c>
      <c r="N34" s="17">
        <f t="shared" si="2"/>
        <v>33656875.389586374</v>
      </c>
      <c r="O34" s="17">
        <f t="shared" si="5"/>
        <v>1449156.1511757164</v>
      </c>
    </row>
    <row r="35" spans="1:15">
      <c r="A35" s="5">
        <v>34</v>
      </c>
      <c r="B35" s="2">
        <v>18000000</v>
      </c>
      <c r="C35" s="2">
        <v>1.859</v>
      </c>
      <c r="D35" s="2">
        <v>0.82</v>
      </c>
      <c r="E35" s="2">
        <v>1600</v>
      </c>
      <c r="F35" s="2">
        <f>IFERROR(B35*C35*IF(D35="", Parameters!$B$2, D35)/Parameters!$B$6, 0)</f>
        <v>882178.53296252829</v>
      </c>
      <c r="G35" s="13">
        <f>F35*IF(E35="", Parameters!$B$2, E35)</f>
        <v>1411485652.7400453</v>
      </c>
      <c r="H35" s="2">
        <f>G35*Parameters!$B$4</f>
        <v>36698626.971241176</v>
      </c>
      <c r="I35" s="2">
        <f>1/POWER(1+Parameters!$B$5, A35)</f>
        <v>3.9142513012204054E-2</v>
      </c>
      <c r="J35" s="6">
        <f t="shared" si="6"/>
        <v>1436476.4837518304</v>
      </c>
      <c r="K35" s="6">
        <f>SUM($G$2:G35)</f>
        <v>47990512193.161507</v>
      </c>
      <c r="L35">
        <f t="shared" si="4"/>
        <v>838069.60631440184</v>
      </c>
      <c r="M35" s="14">
        <f>L35*IF(E35="",Parameters!$B$2,E35)</f>
        <v>1340911370.1030428</v>
      </c>
      <c r="N35" s="17">
        <f t="shared" si="2"/>
        <v>33656875.389586374</v>
      </c>
      <c r="O35" s="17">
        <f t="shared" si="5"/>
        <v>1317414.6828870149</v>
      </c>
    </row>
    <row r="39" spans="1:15">
      <c r="F39" s="3" t="s">
        <v>15</v>
      </c>
      <c r="G39" s="10">
        <f>SUM(G2:G35)</f>
        <v>47990512193.161507</v>
      </c>
      <c r="H39">
        <f>SUM(H2:H35)</f>
        <v>1247753317.0222011</v>
      </c>
      <c r="J39" s="11">
        <f>SUM(J2:J35)</f>
        <v>352621504.87489313</v>
      </c>
      <c r="O39" s="11">
        <f>SUM(O2:O35)</f>
        <v>323394607.06699342</v>
      </c>
    </row>
    <row r="40" spans="1:15">
      <c r="F40" s="3" t="s">
        <v>16</v>
      </c>
      <c r="G40" s="10">
        <f>G39</f>
        <v>47990512193.161507</v>
      </c>
    </row>
    <row r="41" spans="1:15">
      <c r="F41" s="3" t="s">
        <v>17</v>
      </c>
      <c r="G41" s="10">
        <f>H39</f>
        <v>1247753317.0222011</v>
      </c>
    </row>
    <row r="42" spans="1:15">
      <c r="F42" s="3" t="s">
        <v>9</v>
      </c>
      <c r="G42" s="10">
        <f>J39</f>
        <v>352621504.87489313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8842-6CA7-4B88-96D7-86EEA0507A4E}">
  <sheetPr codeName="Sheet21"/>
  <dimension ref="A1:O42"/>
  <sheetViews>
    <sheetView topLeftCell="A7" workbookViewId="0">
      <pane xSplit="1" topLeftCell="E1" activePane="topRight" state="frozen"/>
      <selection pane="topRight" activeCell="L39" sqref="L39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19000000</v>
      </c>
      <c r="C2" s="2">
        <v>1.9330000000000001</v>
      </c>
      <c r="D2" s="2">
        <v>0.82</v>
      </c>
      <c r="E2" s="2">
        <v>1600</v>
      </c>
      <c r="F2" s="2">
        <f>IFERROR(B2*C2*IF(D2="", Parameters!$B$2, D2)/Parameters!$B$6, 0)</f>
        <v>968255.66254601569</v>
      </c>
      <c r="G2" s="13">
        <f>F2*IF(E2="", Parameters!$B$2, E2)</f>
        <v>1549209060.0736251</v>
      </c>
      <c r="H2" s="2">
        <f>G2*Parameters!$B$4</f>
        <v>40279435.56191425</v>
      </c>
      <c r="I2" s="2">
        <f>1/POWER(1+Parameters!$B$5, A2)</f>
        <v>0.90909090909090906</v>
      </c>
      <c r="J2" s="6">
        <f t="shared" ref="J2:J33" si="0">H2*I2</f>
        <v>36617668.69264932</v>
      </c>
      <c r="K2" s="6">
        <f>SUM($G$2:G2)</f>
        <v>1549209060.0736251</v>
      </c>
      <c r="L2">
        <f>F2*0.95</f>
        <v>919842.8794187149</v>
      </c>
      <c r="M2" s="14">
        <f>L2*IF(E2="",Parameters!$B$2,E2)</f>
        <v>1471748607.0699439</v>
      </c>
      <c r="N2" s="17">
        <f>M2*0.0251</f>
        <v>36940890.037455596</v>
      </c>
      <c r="O2" s="17">
        <f>N2*I2</f>
        <v>33582627.306777813</v>
      </c>
    </row>
    <row r="3" spans="1:15">
      <c r="A3" s="2">
        <v>2</v>
      </c>
      <c r="B3" s="2">
        <v>19000000</v>
      </c>
      <c r="C3" s="2">
        <v>1.9330000000000001</v>
      </c>
      <c r="D3" s="2">
        <v>0.82</v>
      </c>
      <c r="E3" s="2">
        <v>1600</v>
      </c>
      <c r="F3" s="2">
        <f>IFERROR(B3*C3*IF(D3="", Parameters!$B$2, D3)/Parameters!$B$6, 0)</f>
        <v>968255.66254601569</v>
      </c>
      <c r="G3" s="13">
        <f>F3*IF(E3="", Parameters!$B$2, E3)</f>
        <v>1549209060.0736251</v>
      </c>
      <c r="H3" s="2">
        <f>G3*Parameters!$B$4</f>
        <v>40279435.56191425</v>
      </c>
      <c r="I3" s="2">
        <f>1/POWER(1+Parameters!$B$5, A3)</f>
        <v>0.82644628099173545</v>
      </c>
      <c r="J3" s="6">
        <f t="shared" si="0"/>
        <v>33288789.720590286</v>
      </c>
      <c r="K3" s="6">
        <f>SUM($G$2:G3)</f>
        <v>3098418120.1472502</v>
      </c>
      <c r="L3">
        <f t="shared" ref="L3:L35" si="1">F3*0.95</f>
        <v>919842.8794187149</v>
      </c>
      <c r="M3" s="14">
        <f>L3*IF(E3="",Parameters!$B$2,E3)</f>
        <v>1471748607.0699439</v>
      </c>
      <c r="N3" s="17">
        <f t="shared" ref="N3:N35" si="2">M3*0.0251</f>
        <v>36940890.037455596</v>
      </c>
      <c r="O3" s="17">
        <f t="shared" ref="O3:O35" si="3">N3*I3</f>
        <v>30529661.187979829</v>
      </c>
    </row>
    <row r="4" spans="1:15">
      <c r="A4" s="2">
        <v>3</v>
      </c>
      <c r="B4" s="2">
        <v>19000000</v>
      </c>
      <c r="C4" s="2">
        <v>1.9330000000000001</v>
      </c>
      <c r="D4" s="2">
        <v>0.82</v>
      </c>
      <c r="E4" s="2">
        <v>1600</v>
      </c>
      <c r="F4" s="2">
        <f>IFERROR(B4*C4*IF(D4="", Parameters!$B$2, D4)/Parameters!$B$6, 0)</f>
        <v>968255.66254601569</v>
      </c>
      <c r="G4" s="13">
        <f>F4*IF(E4="", Parameters!$B$2, E4)</f>
        <v>1549209060.0736251</v>
      </c>
      <c r="H4" s="2">
        <f>G4*Parameters!$B$4</f>
        <v>40279435.56191425</v>
      </c>
      <c r="I4" s="2">
        <f>1/POWER(1+Parameters!$B$5, A4)</f>
        <v>0.75131480090157754</v>
      </c>
      <c r="J4" s="6">
        <f t="shared" si="0"/>
        <v>30262536.109627526</v>
      </c>
      <c r="K4" s="6">
        <f>SUM($G$2:G4)</f>
        <v>4647627180.2208748</v>
      </c>
      <c r="L4">
        <f t="shared" si="1"/>
        <v>919842.8794187149</v>
      </c>
      <c r="M4" s="14">
        <f>L4*IF(E4="",Parameters!$B$2,E4)</f>
        <v>1471748607.0699439</v>
      </c>
      <c r="N4" s="17">
        <f t="shared" si="2"/>
        <v>36940890.037455596</v>
      </c>
      <c r="O4" s="17">
        <f t="shared" si="3"/>
        <v>27754237.443618022</v>
      </c>
    </row>
    <row r="5" spans="1:15">
      <c r="A5" s="2">
        <v>4</v>
      </c>
      <c r="B5" s="2">
        <v>19000000</v>
      </c>
      <c r="C5" s="2">
        <v>1.9330000000000001</v>
      </c>
      <c r="D5" s="2">
        <v>0.82</v>
      </c>
      <c r="E5" s="2">
        <v>1600</v>
      </c>
      <c r="F5" s="2">
        <f>IFERROR(B5*C5*IF(D5="", Parameters!$B$2, D5)/Parameters!$B$6, 0)</f>
        <v>968255.66254601569</v>
      </c>
      <c r="G5" s="13">
        <f>F5*IF(E5="", Parameters!$B$2, E5)</f>
        <v>1549209060.0736251</v>
      </c>
      <c r="H5" s="2">
        <f>G5*Parameters!$B$4</f>
        <v>40279435.56191425</v>
      </c>
      <c r="I5" s="2">
        <f>1/POWER(1+Parameters!$B$5, A5)</f>
        <v>0.68301345536507052</v>
      </c>
      <c r="J5" s="6">
        <f t="shared" si="0"/>
        <v>27511396.463297755</v>
      </c>
      <c r="K5" s="6">
        <f>SUM($G$2:G5)</f>
        <v>6196836240.2945004</v>
      </c>
      <c r="L5">
        <f t="shared" si="1"/>
        <v>919842.8794187149</v>
      </c>
      <c r="M5" s="14">
        <f>L5*IF(E5="",Parameters!$B$2,E5)</f>
        <v>1471748607.0699439</v>
      </c>
      <c r="N5" s="17">
        <f t="shared" si="2"/>
        <v>36940890.037455596</v>
      </c>
      <c r="O5" s="17">
        <f t="shared" si="3"/>
        <v>25231124.948743656</v>
      </c>
    </row>
    <row r="6" spans="1:15">
      <c r="A6" s="2">
        <v>5</v>
      </c>
      <c r="B6" s="2">
        <v>19000000</v>
      </c>
      <c r="C6" s="2">
        <v>1.9330000000000001</v>
      </c>
      <c r="D6" s="2">
        <v>0.82</v>
      </c>
      <c r="E6" s="2">
        <v>1600</v>
      </c>
      <c r="F6" s="2">
        <f>IFERROR(B6*C6*IF(D6="", Parameters!$B$2, D6)/Parameters!$B$6, 0)</f>
        <v>968255.66254601569</v>
      </c>
      <c r="G6" s="13">
        <f>F6*IF(E6="", Parameters!$B$2, E6)</f>
        <v>1549209060.0736251</v>
      </c>
      <c r="H6" s="2">
        <f>G6*Parameters!$B$4</f>
        <v>40279435.56191425</v>
      </c>
      <c r="I6" s="2">
        <f>1/POWER(1+Parameters!$B$5, A6)</f>
        <v>0.62092132305915493</v>
      </c>
      <c r="J6" s="6">
        <f t="shared" si="0"/>
        <v>25010360.421179771</v>
      </c>
      <c r="K6" s="6">
        <f>SUM($G$2:G6)</f>
        <v>7746045300.3681259</v>
      </c>
      <c r="L6">
        <f t="shared" si="1"/>
        <v>919842.8794187149</v>
      </c>
      <c r="M6" s="14">
        <f>L6*IF(E6="",Parameters!$B$2,E6)</f>
        <v>1471748607.0699439</v>
      </c>
      <c r="N6" s="17">
        <f t="shared" si="2"/>
        <v>36940890.037455596</v>
      </c>
      <c r="O6" s="17">
        <f t="shared" si="3"/>
        <v>22937386.317039683</v>
      </c>
    </row>
    <row r="7" spans="1:15">
      <c r="A7" s="2">
        <v>6</v>
      </c>
      <c r="B7" s="2">
        <v>19000000</v>
      </c>
      <c r="C7" s="2">
        <v>1.9330000000000001</v>
      </c>
      <c r="D7" s="2">
        <v>0.82</v>
      </c>
      <c r="E7" s="2">
        <v>1600</v>
      </c>
      <c r="F7" s="2">
        <f>IFERROR(B7*C7*IF(D7="", Parameters!$B$2, D7)/Parameters!$B$6, 0)</f>
        <v>968255.66254601569</v>
      </c>
      <c r="G7" s="13">
        <f>F7*IF(E7="", Parameters!$B$2, E7)</f>
        <v>1549209060.0736251</v>
      </c>
      <c r="H7" s="2">
        <f>G7*Parameters!$B$4</f>
        <v>40279435.56191425</v>
      </c>
      <c r="I7" s="2">
        <f>1/POWER(1+Parameters!$B$5, A7)</f>
        <v>0.56447393005377722</v>
      </c>
      <c r="J7" s="6">
        <f t="shared" si="0"/>
        <v>22736691.291981611</v>
      </c>
      <c r="K7" s="6">
        <f>SUM($G$2:G7)</f>
        <v>9295254360.4417515</v>
      </c>
      <c r="L7">
        <f t="shared" si="1"/>
        <v>919842.8794187149</v>
      </c>
      <c r="M7" s="14">
        <f>L7*IF(E7="",Parameters!$B$2,E7)</f>
        <v>1471748607.0699439</v>
      </c>
      <c r="N7" s="17">
        <f t="shared" si="2"/>
        <v>36940890.037455596</v>
      </c>
      <c r="O7" s="17">
        <f t="shared" si="3"/>
        <v>20852169.379126985</v>
      </c>
    </row>
    <row r="8" spans="1:15">
      <c r="A8" s="2">
        <v>7</v>
      </c>
      <c r="B8" s="2">
        <v>19000000</v>
      </c>
      <c r="C8" s="2">
        <v>1.9330000000000001</v>
      </c>
      <c r="D8" s="2">
        <v>0.82</v>
      </c>
      <c r="E8" s="2">
        <v>1600</v>
      </c>
      <c r="F8" s="2">
        <f>IFERROR(B8*C8*IF(D8="", Parameters!$B$2, D8)/Parameters!$B$6, 0)</f>
        <v>968255.66254601569</v>
      </c>
      <c r="G8" s="13">
        <f>F8*IF(E8="", Parameters!$B$2, E8)</f>
        <v>1549209060.0736251</v>
      </c>
      <c r="H8" s="2">
        <f>G8*Parameters!$B$4</f>
        <v>40279435.56191425</v>
      </c>
      <c r="I8" s="2">
        <f>1/POWER(1+Parameters!$B$5, A8)</f>
        <v>0.51315811823070645</v>
      </c>
      <c r="J8" s="6">
        <f t="shared" si="0"/>
        <v>20669719.356346916</v>
      </c>
      <c r="K8" s="6">
        <f>SUM($G$2:G8)</f>
        <v>10844463420.515377</v>
      </c>
      <c r="L8">
        <f t="shared" si="1"/>
        <v>919842.8794187149</v>
      </c>
      <c r="M8" s="14">
        <f>L8*IF(E8="",Parameters!$B$2,E8)</f>
        <v>1471748607.0699439</v>
      </c>
      <c r="N8" s="17">
        <f t="shared" si="2"/>
        <v>36940890.037455596</v>
      </c>
      <c r="O8" s="17">
        <f t="shared" si="3"/>
        <v>18956517.617388166</v>
      </c>
    </row>
    <row r="9" spans="1:15">
      <c r="A9" s="2">
        <v>8</v>
      </c>
      <c r="B9" s="2">
        <v>19000000</v>
      </c>
      <c r="C9" s="2">
        <v>1.9330000000000001</v>
      </c>
      <c r="D9" s="2">
        <v>0.82</v>
      </c>
      <c r="E9" s="2">
        <v>1600</v>
      </c>
      <c r="F9" s="2">
        <f>IFERROR(B9*C9*IF(D9="", Parameters!$B$2, D9)/Parameters!$B$6, 0)</f>
        <v>968255.66254601569</v>
      </c>
      <c r="G9" s="13">
        <f>F9*IF(E9="", Parameters!$B$2, E9)</f>
        <v>1549209060.0736251</v>
      </c>
      <c r="H9" s="2">
        <f>G9*Parameters!$B$4</f>
        <v>40279435.56191425</v>
      </c>
      <c r="I9" s="2">
        <f>1/POWER(1+Parameters!$B$5, A9)</f>
        <v>0.46650738020973315</v>
      </c>
      <c r="J9" s="6">
        <f t="shared" si="0"/>
        <v>18790653.960315377</v>
      </c>
      <c r="K9" s="6">
        <f>SUM($G$2:G9)</f>
        <v>12393672480.589003</v>
      </c>
      <c r="L9">
        <f t="shared" si="1"/>
        <v>919842.8794187149</v>
      </c>
      <c r="M9" s="14">
        <f>L9*IF(E9="",Parameters!$B$2,E9)</f>
        <v>1471748607.0699439</v>
      </c>
      <c r="N9" s="17">
        <f t="shared" si="2"/>
        <v>36940890.037455596</v>
      </c>
      <c r="O9" s="17">
        <f t="shared" si="3"/>
        <v>17233197.83398924</v>
      </c>
    </row>
    <row r="10" spans="1:15">
      <c r="A10" s="2">
        <v>9</v>
      </c>
      <c r="B10" s="2">
        <v>19000000</v>
      </c>
      <c r="C10" s="2">
        <v>1.9330000000000001</v>
      </c>
      <c r="D10" s="2">
        <v>0.82</v>
      </c>
      <c r="E10" s="2">
        <v>1600</v>
      </c>
      <c r="F10" s="2">
        <f>IFERROR(B10*C10*IF(D10="", Parameters!$B$2, D10)/Parameters!$B$6, 0)</f>
        <v>968255.66254601569</v>
      </c>
      <c r="G10" s="13">
        <f>F10*IF(E10="", Parameters!$B$2, E10)</f>
        <v>1549209060.0736251</v>
      </c>
      <c r="H10" s="2">
        <f>G10*Parameters!$B$4</f>
        <v>40279435.56191425</v>
      </c>
      <c r="I10" s="2">
        <f>1/POWER(1+Parameters!$B$5, A10)</f>
        <v>0.42409761837248466</v>
      </c>
      <c r="J10" s="6">
        <f t="shared" si="0"/>
        <v>17082412.691195797</v>
      </c>
      <c r="K10" s="6">
        <f>SUM($G$2:G10)</f>
        <v>13942881540.662628</v>
      </c>
      <c r="L10">
        <f t="shared" si="1"/>
        <v>919842.8794187149</v>
      </c>
      <c r="M10" s="14">
        <f>L10*IF(E10="",Parameters!$B$2,E10)</f>
        <v>1471748607.0699439</v>
      </c>
      <c r="N10" s="17">
        <f t="shared" si="2"/>
        <v>36940890.037455596</v>
      </c>
      <c r="O10" s="17">
        <f t="shared" si="3"/>
        <v>15666543.485444764</v>
      </c>
    </row>
    <row r="11" spans="1:15">
      <c r="A11" s="2">
        <v>10</v>
      </c>
      <c r="B11" s="2">
        <v>19000000</v>
      </c>
      <c r="C11" s="2">
        <v>1.9330000000000001</v>
      </c>
      <c r="D11" s="2">
        <v>0.82</v>
      </c>
      <c r="E11" s="2">
        <v>1600</v>
      </c>
      <c r="F11" s="2">
        <f>IFERROR(B11*C11*IF(D11="", Parameters!$B$2, D11)/Parameters!$B$6, 0)</f>
        <v>968255.66254601569</v>
      </c>
      <c r="G11" s="13">
        <f>F11*IF(E11="", Parameters!$B$2, E11)</f>
        <v>1549209060.0736251</v>
      </c>
      <c r="H11" s="2">
        <f>G11*Parameters!$B$4</f>
        <v>40279435.56191425</v>
      </c>
      <c r="I11" s="2">
        <f>1/POWER(1+Parameters!$B$5, A11)</f>
        <v>0.38554328942953148</v>
      </c>
      <c r="J11" s="6">
        <f t="shared" si="0"/>
        <v>15529466.082905268</v>
      </c>
      <c r="K11" s="6">
        <f>SUM($G$2:G11)</f>
        <v>15492090600.736254</v>
      </c>
      <c r="L11">
        <f t="shared" si="1"/>
        <v>919842.8794187149</v>
      </c>
      <c r="M11" s="14">
        <f>L11*IF(E11="",Parameters!$B$2,E11)</f>
        <v>1471748607.0699439</v>
      </c>
      <c r="N11" s="17">
        <f t="shared" si="2"/>
        <v>36940890.037455596</v>
      </c>
      <c r="O11" s="17">
        <f t="shared" si="3"/>
        <v>14242312.259495238</v>
      </c>
    </row>
    <row r="12" spans="1:15">
      <c r="A12" s="2">
        <v>11</v>
      </c>
      <c r="B12" s="2">
        <v>19000000</v>
      </c>
      <c r="C12" s="2">
        <v>1.9330000000000001</v>
      </c>
      <c r="D12" s="2">
        <v>0.82</v>
      </c>
      <c r="E12" s="2">
        <v>1600</v>
      </c>
      <c r="F12" s="2">
        <f>IFERROR(B12*C12*IF(D12="", Parameters!$B$2, D12)/Parameters!$B$6, 0)</f>
        <v>968255.66254601569</v>
      </c>
      <c r="G12" s="13">
        <f>F12*IF(E12="", Parameters!$B$2, E12)</f>
        <v>1549209060.0736251</v>
      </c>
      <c r="H12" s="2">
        <f>G12*Parameters!$B$4</f>
        <v>40279435.56191425</v>
      </c>
      <c r="I12" s="2">
        <f>1/POWER(1+Parameters!$B$5, A12)</f>
        <v>0.3504938994813922</v>
      </c>
      <c r="J12" s="6">
        <f t="shared" si="0"/>
        <v>14117696.439004788</v>
      </c>
      <c r="K12" s="6">
        <f>SUM($G$2:G12)</f>
        <v>17041299660.809879</v>
      </c>
      <c r="L12">
        <f t="shared" si="1"/>
        <v>919842.8794187149</v>
      </c>
      <c r="M12" s="14">
        <f>L12*IF(E12="",Parameters!$B$2,E12)</f>
        <v>1471748607.0699439</v>
      </c>
      <c r="N12" s="17">
        <f t="shared" si="2"/>
        <v>36940890.037455596</v>
      </c>
      <c r="O12" s="17">
        <f t="shared" si="3"/>
        <v>12947556.599541124</v>
      </c>
    </row>
    <row r="13" spans="1:15">
      <c r="A13" s="2">
        <v>12</v>
      </c>
      <c r="B13" s="2">
        <v>19000000</v>
      </c>
      <c r="C13" s="2">
        <v>1.9330000000000001</v>
      </c>
      <c r="D13" s="2">
        <v>0.82</v>
      </c>
      <c r="E13" s="2">
        <v>1600</v>
      </c>
      <c r="F13" s="2">
        <f>IFERROR(B13*C13*IF(D13="", Parameters!$B$2, D13)/Parameters!$B$6, 0)</f>
        <v>968255.66254601569</v>
      </c>
      <c r="G13" s="13">
        <f>F13*IF(E13="", Parameters!$B$2, E13)</f>
        <v>1549209060.0736251</v>
      </c>
      <c r="H13" s="2">
        <f>G13*Parameters!$B$4</f>
        <v>40279435.56191425</v>
      </c>
      <c r="I13" s="2">
        <f>1/POWER(1+Parameters!$B$5, A13)</f>
        <v>0.31863081771035656</v>
      </c>
      <c r="J13" s="6">
        <f t="shared" si="0"/>
        <v>12834269.490004353</v>
      </c>
      <c r="K13" s="6">
        <f>SUM($G$2:G13)</f>
        <v>18590508720.883503</v>
      </c>
      <c r="L13">
        <f t="shared" si="1"/>
        <v>919842.8794187149</v>
      </c>
      <c r="M13" s="14">
        <f>L13*IF(E13="",Parameters!$B$2,E13)</f>
        <v>1471748607.0699439</v>
      </c>
      <c r="N13" s="17">
        <f t="shared" si="2"/>
        <v>36940890.037455596</v>
      </c>
      <c r="O13" s="17">
        <f t="shared" si="3"/>
        <v>11770505.99958284</v>
      </c>
    </row>
    <row r="14" spans="1:15">
      <c r="A14" s="2">
        <v>13</v>
      </c>
      <c r="B14" s="2">
        <v>19000000</v>
      </c>
      <c r="C14" s="2">
        <v>1.9330000000000001</v>
      </c>
      <c r="D14" s="2">
        <v>0.82</v>
      </c>
      <c r="E14" s="2">
        <v>1600</v>
      </c>
      <c r="F14" s="2">
        <f>IFERROR(B14*C14*IF(D14="", Parameters!$B$2, D14)/Parameters!$B$6, 0)</f>
        <v>968255.66254601569</v>
      </c>
      <c r="G14" s="13">
        <f>F14*IF(E14="", Parameters!$B$2, E14)</f>
        <v>1549209060.0736251</v>
      </c>
      <c r="H14" s="2">
        <f>G14*Parameters!$B$4</f>
        <v>40279435.56191425</v>
      </c>
      <c r="I14" s="2">
        <f>1/POWER(1+Parameters!$B$5, A14)</f>
        <v>0.28966437973668779</v>
      </c>
      <c r="J14" s="6">
        <f t="shared" si="0"/>
        <v>11667517.718185775</v>
      </c>
      <c r="K14" s="6">
        <f>SUM($G$2:G14)</f>
        <v>20139717780.957127</v>
      </c>
      <c r="L14">
        <f t="shared" si="1"/>
        <v>919842.8794187149</v>
      </c>
      <c r="M14" s="14">
        <f>L14*IF(E14="",Parameters!$B$2,E14)</f>
        <v>1471748607.0699439</v>
      </c>
      <c r="N14" s="17">
        <f t="shared" si="2"/>
        <v>36940890.037455596</v>
      </c>
      <c r="O14" s="17">
        <f t="shared" si="3"/>
        <v>10700459.999620765</v>
      </c>
    </row>
    <row r="15" spans="1:15">
      <c r="A15" s="2">
        <v>14</v>
      </c>
      <c r="B15" s="2">
        <v>19000000</v>
      </c>
      <c r="C15" s="2">
        <v>1.9330000000000001</v>
      </c>
      <c r="D15" s="2">
        <v>0.82</v>
      </c>
      <c r="E15" s="2">
        <v>1600</v>
      </c>
      <c r="F15" s="2">
        <f>IFERROR(B15*C15*IF(D15="", Parameters!$B$2, D15)/Parameters!$B$6, 0)</f>
        <v>968255.66254601569</v>
      </c>
      <c r="G15" s="13">
        <f>F15*IF(E15="", Parameters!$B$2, E15)</f>
        <v>1549209060.0736251</v>
      </c>
      <c r="H15" s="2">
        <f>G15*Parameters!$B$4</f>
        <v>40279435.56191425</v>
      </c>
      <c r="I15" s="2">
        <f>1/POWER(1+Parameters!$B$5, A15)</f>
        <v>0.26333125430607973</v>
      </c>
      <c r="J15" s="6">
        <f t="shared" si="0"/>
        <v>10606834.289259793</v>
      </c>
      <c r="K15" s="6">
        <f>SUM($G$2:G15)</f>
        <v>21688926841.03075</v>
      </c>
      <c r="L15">
        <f t="shared" si="1"/>
        <v>919842.8794187149</v>
      </c>
      <c r="M15" s="14">
        <f>L15*IF(E15="",Parameters!$B$2,E15)</f>
        <v>1471748607.0699439</v>
      </c>
      <c r="N15" s="17">
        <f t="shared" si="2"/>
        <v>36940890.037455596</v>
      </c>
      <c r="O15" s="17">
        <f t="shared" si="3"/>
        <v>9727690.9087461475</v>
      </c>
    </row>
    <row r="16" spans="1:15">
      <c r="A16" s="2">
        <v>15</v>
      </c>
      <c r="B16" s="2">
        <v>19000000</v>
      </c>
      <c r="C16" s="2">
        <v>1.9330000000000001</v>
      </c>
      <c r="D16" s="2">
        <v>0.82</v>
      </c>
      <c r="E16" s="2">
        <v>1600</v>
      </c>
      <c r="F16" s="2">
        <f>IFERROR(B16*C16*IF(D16="", Parameters!$B$2, D16)/Parameters!$B$6, 0)</f>
        <v>968255.66254601569</v>
      </c>
      <c r="G16" s="13">
        <f>F16*IF(E16="", Parameters!$B$2, E16)</f>
        <v>1549209060.0736251</v>
      </c>
      <c r="H16" s="2">
        <f>G16*Parameters!$B$4</f>
        <v>40279435.56191425</v>
      </c>
      <c r="I16" s="2">
        <f>1/POWER(1+Parameters!$B$5, A16)</f>
        <v>0.23939204936916339</v>
      </c>
      <c r="J16" s="6">
        <f t="shared" si="0"/>
        <v>9642576.626599811</v>
      </c>
      <c r="K16" s="6">
        <f>SUM($G$2:G16)</f>
        <v>23238135901.104374</v>
      </c>
      <c r="L16">
        <f t="shared" si="1"/>
        <v>919842.8794187149</v>
      </c>
      <c r="M16" s="14">
        <f>L16*IF(E16="",Parameters!$B$2,E16)</f>
        <v>1471748607.0699439</v>
      </c>
      <c r="N16" s="17">
        <f t="shared" si="2"/>
        <v>36940890.037455596</v>
      </c>
      <c r="O16" s="17">
        <f t="shared" si="3"/>
        <v>8843355.3715874068</v>
      </c>
    </row>
    <row r="17" spans="1:15">
      <c r="A17" s="2">
        <v>16</v>
      </c>
      <c r="B17" s="2">
        <v>19000000</v>
      </c>
      <c r="C17" s="2">
        <v>1.9330000000000001</v>
      </c>
      <c r="D17" s="2">
        <v>0.82</v>
      </c>
      <c r="E17" s="2">
        <v>1600</v>
      </c>
      <c r="F17" s="2">
        <f>IFERROR(B17*C17*IF(D17="", Parameters!$B$2, D17)/Parameters!$B$6, 0)</f>
        <v>968255.66254601569</v>
      </c>
      <c r="G17" s="13">
        <f>F17*IF(E17="", Parameters!$B$2, E17)</f>
        <v>1549209060.0736251</v>
      </c>
      <c r="H17" s="2">
        <f>G17*Parameters!$B$4</f>
        <v>40279435.56191425</v>
      </c>
      <c r="I17" s="2">
        <f>1/POWER(1+Parameters!$B$5, A17)</f>
        <v>0.21762913579014853</v>
      </c>
      <c r="J17" s="6">
        <f t="shared" si="0"/>
        <v>8765978.7514543738</v>
      </c>
      <c r="K17" s="6">
        <f>SUM($G$2:G17)</f>
        <v>24787344961.177998</v>
      </c>
      <c r="L17">
        <f t="shared" si="1"/>
        <v>919842.8794187149</v>
      </c>
      <c r="M17" s="14">
        <f>L17*IF(E17="",Parameters!$B$2,E17)</f>
        <v>1471748607.0699439</v>
      </c>
      <c r="N17" s="17">
        <f t="shared" si="2"/>
        <v>36940890.037455596</v>
      </c>
      <c r="O17" s="17">
        <f t="shared" si="3"/>
        <v>8039413.9741703691</v>
      </c>
    </row>
    <row r="18" spans="1:15">
      <c r="A18" s="2">
        <v>17</v>
      </c>
      <c r="B18" s="2">
        <v>19000000</v>
      </c>
      <c r="C18" s="2">
        <v>1.9330000000000001</v>
      </c>
      <c r="D18" s="2">
        <v>0.82</v>
      </c>
      <c r="E18" s="2">
        <v>1600</v>
      </c>
      <c r="F18" s="2">
        <f>IFERROR(B18*C18*IF(D18="", Parameters!$B$2, D18)/Parameters!$B$6, 0)</f>
        <v>968255.66254601569</v>
      </c>
      <c r="G18" s="13">
        <f>F18*IF(E18="", Parameters!$B$2, E18)</f>
        <v>1549209060.0736251</v>
      </c>
      <c r="H18" s="2">
        <f>G18*Parameters!$B$4</f>
        <v>40279435.56191425</v>
      </c>
      <c r="I18" s="2">
        <f>1/POWER(1+Parameters!$B$5, A18)</f>
        <v>0.19784466890013502</v>
      </c>
      <c r="J18" s="6">
        <f t="shared" si="0"/>
        <v>7969071.5922312485</v>
      </c>
      <c r="K18" s="6">
        <f>SUM($G$2:G18)</f>
        <v>26336554021.251621</v>
      </c>
      <c r="L18">
        <f t="shared" si="1"/>
        <v>919842.8794187149</v>
      </c>
      <c r="M18" s="14">
        <f>L18*IF(E18="",Parameters!$B$2,E18)</f>
        <v>1471748607.0699439</v>
      </c>
      <c r="N18" s="17">
        <f t="shared" si="2"/>
        <v>36940890.037455596</v>
      </c>
      <c r="O18" s="17">
        <f t="shared" si="3"/>
        <v>7308558.158336699</v>
      </c>
    </row>
    <row r="19" spans="1:15">
      <c r="A19" s="2">
        <v>18</v>
      </c>
      <c r="B19" s="2">
        <v>19000000</v>
      </c>
      <c r="C19" s="2">
        <v>1.9330000000000001</v>
      </c>
      <c r="D19" s="2">
        <v>0.82</v>
      </c>
      <c r="E19" s="2">
        <v>1600</v>
      </c>
      <c r="F19" s="2">
        <f>IFERROR(B19*C19*IF(D19="", Parameters!$B$2, D19)/Parameters!$B$6, 0)</f>
        <v>968255.66254601569</v>
      </c>
      <c r="G19" s="13">
        <f>F19*IF(E19="", Parameters!$B$2, E19)</f>
        <v>1549209060.0736251</v>
      </c>
      <c r="H19" s="2">
        <f>G19*Parameters!$B$4</f>
        <v>40279435.56191425</v>
      </c>
      <c r="I19" s="2">
        <f>1/POWER(1+Parameters!$B$5, A19)</f>
        <v>0.17985878990921364</v>
      </c>
      <c r="J19" s="6">
        <f t="shared" si="0"/>
        <v>7244610.5383920437</v>
      </c>
      <c r="K19" s="6">
        <f>SUM($G$2:G19)</f>
        <v>27885763081.325245</v>
      </c>
      <c r="L19">
        <f t="shared" si="1"/>
        <v>919842.8794187149</v>
      </c>
      <c r="M19" s="14">
        <f>L19*IF(E19="",Parameters!$B$2,E19)</f>
        <v>1471748607.0699439</v>
      </c>
      <c r="N19" s="17">
        <f t="shared" si="2"/>
        <v>36940890.037455596</v>
      </c>
      <c r="O19" s="17">
        <f t="shared" si="3"/>
        <v>6644143.7803060897</v>
      </c>
    </row>
    <row r="20" spans="1:15">
      <c r="A20" s="2">
        <v>19</v>
      </c>
      <c r="B20" s="2">
        <v>19000000</v>
      </c>
      <c r="C20" s="2">
        <v>1.9330000000000001</v>
      </c>
      <c r="D20" s="2">
        <v>0.82</v>
      </c>
      <c r="E20" s="2">
        <v>1600</v>
      </c>
      <c r="F20" s="2">
        <f>IFERROR(B20*C20*IF(D20="", Parameters!$B$2, D20)/Parameters!$B$6, 0)</f>
        <v>968255.66254601569</v>
      </c>
      <c r="G20" s="13">
        <f>F20*IF(E20="", Parameters!$B$2, E20)</f>
        <v>1549209060.0736251</v>
      </c>
      <c r="H20" s="2">
        <f>G20*Parameters!$B$4</f>
        <v>40279435.56191425</v>
      </c>
      <c r="I20" s="2">
        <f>1/POWER(1+Parameters!$B$5, A20)</f>
        <v>0.16350799082655781</v>
      </c>
      <c r="J20" s="6">
        <f t="shared" si="0"/>
        <v>6586009.5803564014</v>
      </c>
      <c r="K20" s="6">
        <f>SUM($G$2:G20)</f>
        <v>29434972141.398869</v>
      </c>
      <c r="L20">
        <f t="shared" si="1"/>
        <v>919842.8794187149</v>
      </c>
      <c r="M20" s="14">
        <f>L20*IF(E20="",Parameters!$B$2,E20)</f>
        <v>1471748607.0699439</v>
      </c>
      <c r="N20" s="17">
        <f t="shared" si="2"/>
        <v>36940890.037455596</v>
      </c>
      <c r="O20" s="17">
        <f t="shared" si="3"/>
        <v>6040130.7093691705</v>
      </c>
    </row>
    <row r="21" spans="1:15">
      <c r="A21" s="2">
        <v>20</v>
      </c>
      <c r="B21" s="2">
        <v>19000000</v>
      </c>
      <c r="C21" s="2">
        <v>1.9330000000000001</v>
      </c>
      <c r="D21" s="2">
        <v>0.82</v>
      </c>
      <c r="E21" s="2">
        <v>1600</v>
      </c>
      <c r="F21" s="2">
        <f>IFERROR(B21*C21*IF(D21="", Parameters!$B$2, D21)/Parameters!$B$6, 0)</f>
        <v>968255.66254601569</v>
      </c>
      <c r="G21" s="13">
        <f>F21*IF(E21="", Parameters!$B$2, E21)</f>
        <v>1549209060.0736251</v>
      </c>
      <c r="H21" s="2">
        <f>G21*Parameters!$B$4</f>
        <v>40279435.56191425</v>
      </c>
      <c r="I21" s="2">
        <f>1/POWER(1+Parameters!$B$5, A21)</f>
        <v>0.14864362802414349</v>
      </c>
      <c r="J21" s="6">
        <f t="shared" si="0"/>
        <v>5987281.436687639</v>
      </c>
      <c r="K21" s="6">
        <f>SUM($G$2:G21)</f>
        <v>30984181201.472492</v>
      </c>
      <c r="L21">
        <f t="shared" si="1"/>
        <v>919842.8794187149</v>
      </c>
      <c r="M21" s="14">
        <f>L21*IF(E21="",Parameters!$B$2,E21)</f>
        <v>1471748607.0699439</v>
      </c>
      <c r="N21" s="17">
        <f t="shared" si="2"/>
        <v>36940890.037455596</v>
      </c>
      <c r="O21" s="17">
        <f t="shared" si="3"/>
        <v>5491027.9176083375</v>
      </c>
    </row>
    <row r="22" spans="1:15">
      <c r="A22" s="2">
        <v>21</v>
      </c>
      <c r="B22" s="2">
        <v>19000000</v>
      </c>
      <c r="C22" s="2">
        <v>1.9330000000000001</v>
      </c>
      <c r="D22" s="2">
        <v>0.82</v>
      </c>
      <c r="E22" s="2">
        <v>1600</v>
      </c>
      <c r="F22" s="2">
        <f>IFERROR(B22*C22*IF(D22="", Parameters!$B$2, D22)/Parameters!$B$6, 0)</f>
        <v>968255.66254601569</v>
      </c>
      <c r="G22" s="13">
        <f>F22*IF(E22="", Parameters!$B$2, E22)</f>
        <v>1549209060.0736251</v>
      </c>
      <c r="H22" s="2">
        <f>G22*Parameters!$B$4</f>
        <v>40279435.56191425</v>
      </c>
      <c r="I22" s="2">
        <f>1/POWER(1+Parameters!$B$5, A22)</f>
        <v>0.13513057093103953</v>
      </c>
      <c r="J22" s="6">
        <f t="shared" si="0"/>
        <v>5442983.1242614901</v>
      </c>
      <c r="K22" s="6">
        <f>SUM($G$2:G22)</f>
        <v>32533390261.546116</v>
      </c>
      <c r="L22">
        <f t="shared" si="1"/>
        <v>919842.8794187149</v>
      </c>
      <c r="M22" s="14">
        <f>L22*IF(E22="",Parameters!$B$2,E22)</f>
        <v>1471748607.0699439</v>
      </c>
      <c r="N22" s="17">
        <f t="shared" si="2"/>
        <v>36940890.037455596</v>
      </c>
      <c r="O22" s="17">
        <f t="shared" si="3"/>
        <v>4991843.5614621248</v>
      </c>
    </row>
    <row r="23" spans="1:15">
      <c r="A23" s="2">
        <v>22</v>
      </c>
      <c r="B23" s="2">
        <v>19000000</v>
      </c>
      <c r="C23" s="2">
        <v>1.9330000000000001</v>
      </c>
      <c r="D23" s="2">
        <v>0.82</v>
      </c>
      <c r="E23" s="2">
        <v>1600</v>
      </c>
      <c r="F23" s="2">
        <f>IFERROR(B23*C23*IF(D23="", Parameters!$B$2, D23)/Parameters!$B$6, 0)</f>
        <v>968255.66254601569</v>
      </c>
      <c r="G23" s="13">
        <f>F23*IF(E23="", Parameters!$B$2, E23)</f>
        <v>1549209060.0736251</v>
      </c>
      <c r="H23" s="2">
        <f>G23*Parameters!$B$4</f>
        <v>40279435.56191425</v>
      </c>
      <c r="I23" s="2">
        <f>1/POWER(1+Parameters!$B$5, A23)</f>
        <v>0.12284597357367227</v>
      </c>
      <c r="J23" s="6">
        <f t="shared" si="0"/>
        <v>4948166.4766013529</v>
      </c>
      <c r="K23" s="6">
        <f>SUM($G$2:G23)</f>
        <v>34082599321.61974</v>
      </c>
      <c r="L23">
        <f t="shared" si="1"/>
        <v>919842.8794187149</v>
      </c>
      <c r="M23" s="14">
        <f>L23*IF(E23="",Parameters!$B$2,E23)</f>
        <v>1471748607.0699439</v>
      </c>
      <c r="N23" s="17">
        <f t="shared" si="2"/>
        <v>36940890.037455596</v>
      </c>
      <c r="O23" s="17">
        <f t="shared" si="3"/>
        <v>4538039.6013292037</v>
      </c>
    </row>
    <row r="24" spans="1:15">
      <c r="A24" s="2">
        <v>23</v>
      </c>
      <c r="B24" s="2">
        <v>19000000</v>
      </c>
      <c r="C24" s="2">
        <v>1.9330000000000001</v>
      </c>
      <c r="D24" s="2">
        <v>0.82</v>
      </c>
      <c r="E24" s="2">
        <v>1600</v>
      </c>
      <c r="F24" s="2">
        <f>IFERROR(B24*C24*IF(D24="", Parameters!$B$2, D24)/Parameters!$B$6, 0)</f>
        <v>968255.66254601569</v>
      </c>
      <c r="G24" s="13">
        <f>F24*IF(E24="", Parameters!$B$2, E24)</f>
        <v>1549209060.0736251</v>
      </c>
      <c r="H24" s="2">
        <f>G24*Parameters!$B$4</f>
        <v>40279435.56191425</v>
      </c>
      <c r="I24" s="2">
        <f>1/POWER(1+Parameters!$B$5, A24)</f>
        <v>0.11167815779424752</v>
      </c>
      <c r="J24" s="6">
        <f t="shared" si="0"/>
        <v>4498333.1605466846</v>
      </c>
      <c r="K24" s="6">
        <f>SUM($G$2:G24)</f>
        <v>35631808381.693367</v>
      </c>
      <c r="L24">
        <f t="shared" si="1"/>
        <v>919842.8794187149</v>
      </c>
      <c r="M24" s="14">
        <f>L24*IF(E24="",Parameters!$B$2,E24)</f>
        <v>1471748607.0699439</v>
      </c>
      <c r="N24" s="17">
        <f t="shared" si="2"/>
        <v>36940890.037455596</v>
      </c>
      <c r="O24" s="17">
        <f t="shared" si="3"/>
        <v>4125490.5466629122</v>
      </c>
    </row>
    <row r="25" spans="1:15">
      <c r="A25" s="2">
        <v>24</v>
      </c>
      <c r="B25" s="2">
        <v>19000000</v>
      </c>
      <c r="C25" s="2">
        <v>1.9330000000000001</v>
      </c>
      <c r="D25" s="2">
        <v>0.82</v>
      </c>
      <c r="E25" s="2">
        <v>1600</v>
      </c>
      <c r="F25" s="2">
        <f>IFERROR(B25*C25*IF(D25="", Parameters!$B$2, D25)/Parameters!$B$6, 0)</f>
        <v>968255.66254601569</v>
      </c>
      <c r="G25" s="13">
        <f>F25*IF(E25="", Parameters!$B$2, E25)</f>
        <v>1549209060.0736251</v>
      </c>
      <c r="H25" s="2">
        <f>G25*Parameters!$B$4</f>
        <v>40279435.56191425</v>
      </c>
      <c r="I25" s="2">
        <f>1/POWER(1+Parameters!$B$5, A25)</f>
        <v>0.10152559799477048</v>
      </c>
      <c r="J25" s="6">
        <f t="shared" si="0"/>
        <v>4089393.7823151685</v>
      </c>
      <c r="K25" s="6">
        <f>SUM($G$2:G25)</f>
        <v>37181017441.766991</v>
      </c>
      <c r="L25">
        <f t="shared" si="1"/>
        <v>919842.8794187149</v>
      </c>
      <c r="M25" s="14">
        <f>L25*IF(E25="",Parameters!$B$2,E25)</f>
        <v>1471748607.0699439</v>
      </c>
      <c r="N25" s="17">
        <f t="shared" si="2"/>
        <v>36940890.037455596</v>
      </c>
      <c r="O25" s="17">
        <f t="shared" si="3"/>
        <v>3750445.9515117388</v>
      </c>
    </row>
    <row r="26" spans="1:15">
      <c r="A26" s="2">
        <v>25</v>
      </c>
      <c r="B26" s="2">
        <v>19000000</v>
      </c>
      <c r="C26" s="2">
        <v>1.9330000000000001</v>
      </c>
      <c r="D26" s="2">
        <v>0.82</v>
      </c>
      <c r="E26" s="2">
        <v>1600</v>
      </c>
      <c r="F26" s="2">
        <f>IFERROR(B26*C26*IF(D26="", Parameters!$B$2, D26)/Parameters!$B$6, 0)</f>
        <v>968255.66254601569</v>
      </c>
      <c r="G26" s="13">
        <f>F26*IF(E26="", Parameters!$B$2, E26)</f>
        <v>1549209060.0736251</v>
      </c>
      <c r="H26" s="2">
        <f>G26*Parameters!$B$4</f>
        <v>40279435.56191425</v>
      </c>
      <c r="I26" s="2">
        <f>1/POWER(1+Parameters!$B$5, A26)</f>
        <v>9.2295998177064048E-2</v>
      </c>
      <c r="J26" s="6">
        <f t="shared" si="0"/>
        <v>3717630.7111956063</v>
      </c>
      <c r="K26" s="6">
        <f>SUM($G$2:G26)</f>
        <v>38730226501.840614</v>
      </c>
      <c r="L26">
        <f t="shared" si="1"/>
        <v>919842.8794187149</v>
      </c>
      <c r="M26" s="14">
        <f>L26*IF(E26="",Parameters!$B$2,E26)</f>
        <v>1471748607.0699439</v>
      </c>
      <c r="N26" s="17">
        <f t="shared" si="2"/>
        <v>36940890.037455596</v>
      </c>
      <c r="O26" s="17">
        <f t="shared" si="3"/>
        <v>3409496.319556125</v>
      </c>
    </row>
    <row r="27" spans="1:15">
      <c r="A27" s="2">
        <v>26</v>
      </c>
      <c r="B27" s="2">
        <v>19000000</v>
      </c>
      <c r="C27" s="2">
        <v>1.9330000000000001</v>
      </c>
      <c r="D27" s="2">
        <v>0.82</v>
      </c>
      <c r="E27" s="2">
        <v>1600</v>
      </c>
      <c r="F27" s="2">
        <f>IFERROR(B27*C27*IF(D27="", Parameters!$B$2, D27)/Parameters!$B$6, 0)</f>
        <v>968255.66254601569</v>
      </c>
      <c r="G27" s="13">
        <f>F27*IF(E27="", Parameters!$B$2, E27)</f>
        <v>1549209060.0736251</v>
      </c>
      <c r="H27" s="2">
        <f>G27*Parameters!$B$4</f>
        <v>40279435.56191425</v>
      </c>
      <c r="I27" s="2">
        <f>1/POWER(1+Parameters!$B$5, A27)</f>
        <v>8.3905452888240042E-2</v>
      </c>
      <c r="J27" s="6">
        <f t="shared" si="0"/>
        <v>3379664.2829050967</v>
      </c>
      <c r="K27" s="6">
        <f>SUM($G$2:G27)</f>
        <v>40279435561.914238</v>
      </c>
      <c r="L27">
        <f t="shared" si="1"/>
        <v>919842.8794187149</v>
      </c>
      <c r="M27" s="14">
        <f>L27*IF(E27="",Parameters!$B$2,E27)</f>
        <v>1471748607.0699439</v>
      </c>
      <c r="N27" s="17">
        <f t="shared" si="2"/>
        <v>36940890.037455596</v>
      </c>
      <c r="O27" s="17">
        <f t="shared" si="3"/>
        <v>3099542.1086873864</v>
      </c>
    </row>
    <row r="28" spans="1:15">
      <c r="A28" s="2"/>
      <c r="B28" s="2"/>
      <c r="C28" s="2"/>
      <c r="D28" s="2"/>
      <c r="E28" s="2"/>
      <c r="F28" s="2"/>
      <c r="G28" s="13"/>
      <c r="H28" s="2"/>
      <c r="I28" s="2"/>
      <c r="J28" s="6"/>
      <c r="K28" s="6"/>
      <c r="M28" s="14"/>
      <c r="N28" s="17"/>
      <c r="O28" s="17"/>
    </row>
    <row r="29" spans="1:15">
      <c r="A29" s="2"/>
      <c r="B29" s="2"/>
      <c r="C29" s="2"/>
      <c r="D29" s="2"/>
      <c r="E29" s="2"/>
      <c r="F29" s="2"/>
      <c r="G29" s="13"/>
      <c r="H29" s="2"/>
      <c r="I29" s="2"/>
      <c r="J29" s="6"/>
      <c r="K29" s="6"/>
      <c r="M29" s="14"/>
      <c r="N29" s="17"/>
      <c r="O29" s="17"/>
    </row>
    <row r="30" spans="1:15">
      <c r="A30" s="2"/>
      <c r="B30" s="2"/>
      <c r="C30" s="2"/>
      <c r="D30" s="2"/>
      <c r="E30" s="2"/>
      <c r="F30" s="2"/>
      <c r="G30" s="13"/>
      <c r="H30" s="2"/>
      <c r="I30" s="2"/>
      <c r="J30" s="6"/>
      <c r="K30" s="6"/>
      <c r="M30" s="14"/>
      <c r="N30" s="17"/>
      <c r="O30" s="17"/>
    </row>
    <row r="31" spans="1:15">
      <c r="A31" s="2"/>
      <c r="B31" s="2"/>
      <c r="C31" s="2"/>
      <c r="D31" s="2"/>
      <c r="E31" s="2"/>
      <c r="F31" s="2"/>
      <c r="G31" s="13"/>
      <c r="H31" s="2"/>
      <c r="I31" s="2"/>
      <c r="J31" s="6"/>
      <c r="K31" s="6"/>
      <c r="M31" s="14"/>
      <c r="N31" s="17"/>
      <c r="O31" s="17"/>
    </row>
    <row r="32" spans="1:15">
      <c r="A32" s="5"/>
      <c r="B32" s="2"/>
      <c r="C32" s="2"/>
      <c r="D32" s="2"/>
      <c r="E32" s="2"/>
      <c r="F32" s="2"/>
      <c r="G32" s="13"/>
      <c r="H32" s="2"/>
      <c r="I32" s="2"/>
      <c r="J32" s="6"/>
      <c r="K32" s="6"/>
      <c r="M32" s="14"/>
      <c r="N32" s="17"/>
      <c r="O32" s="17"/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4" spans="1:15">
      <c r="M34" s="14"/>
      <c r="N34" s="17"/>
      <c r="O34" s="17"/>
    </row>
    <row r="35" spans="1:15">
      <c r="M35" s="14"/>
      <c r="N35" s="17"/>
      <c r="O35" s="17"/>
    </row>
    <row r="39" spans="1:15">
      <c r="F39" s="3" t="s">
        <v>15</v>
      </c>
      <c r="G39" s="10">
        <f>SUM(G2:G27)</f>
        <v>40279435561.914238</v>
      </c>
      <c r="H39">
        <f>SUM(H2:H33)</f>
        <v>1047265324.6097701</v>
      </c>
      <c r="J39" s="11">
        <f>SUM(J2:J27)</f>
        <v>368997712.79009122</v>
      </c>
      <c r="O39" s="11">
        <f>SUM(O2:O27)</f>
        <v>338413479.28768182</v>
      </c>
    </row>
    <row r="40" spans="1:15">
      <c r="F40" s="3" t="s">
        <v>16</v>
      </c>
      <c r="G40" s="10">
        <f>G39</f>
        <v>40279435561.914238</v>
      </c>
    </row>
    <row r="41" spans="1:15">
      <c r="F41" s="3" t="s">
        <v>17</v>
      </c>
      <c r="G41" s="10">
        <f>H39</f>
        <v>1047265324.6097701</v>
      </c>
    </row>
    <row r="42" spans="1:15">
      <c r="F42" s="3" t="s">
        <v>9</v>
      </c>
      <c r="G42" s="10">
        <f>J39</f>
        <v>368997712.79009122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B227-C16C-44B5-9ACC-1C7FA7F5A645}">
  <sheetPr codeName="Sheet22"/>
  <dimension ref="A1:O42"/>
  <sheetViews>
    <sheetView tabSelected="1" workbookViewId="0">
      <pane xSplit="1" topLeftCell="B1" activePane="topRight" state="frozen"/>
      <selection pane="topRight" activeCell="N39" sqref="N39"/>
    </sheetView>
  </sheetViews>
  <sheetFormatPr defaultRowHeight="15"/>
  <cols>
    <col min="1" max="3" width="20" customWidth="1"/>
    <col min="4" max="4" width="27.5703125" bestFit="1" customWidth="1"/>
    <col min="5" max="5" width="29.7109375" bestFit="1" customWidth="1"/>
    <col min="6" max="6" width="26.140625" customWidth="1"/>
    <col min="7" max="7" width="18" style="14" bestFit="1" customWidth="1"/>
    <col min="8" max="9" width="20" customWidth="1"/>
    <col min="10" max="10" width="23.42578125" style="7" bestFit="1" customWidth="1"/>
    <col min="11" max="11" width="25.5703125" style="7" bestFit="1" customWidth="1"/>
    <col min="12" max="12" width="17.7109375" bestFit="1" customWidth="1"/>
    <col min="13" max="13" width="16.85546875" bestFit="1" customWidth="1"/>
    <col min="14" max="14" width="14.28515625" bestFit="1" customWidth="1"/>
    <col min="15" max="15" width="16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2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</row>
    <row r="2" spans="1:15">
      <c r="A2" s="2">
        <v>1</v>
      </c>
      <c r="B2" s="2">
        <v>16000000</v>
      </c>
      <c r="C2" s="2">
        <v>1.921</v>
      </c>
      <c r="D2" s="2">
        <v>0.82</v>
      </c>
      <c r="E2" s="2">
        <v>1600</v>
      </c>
      <c r="F2" s="2">
        <f>IFERROR(B2*C2*IF(D2="", Parameters!$B$2, D2)/Parameters!$B$6, 0)</f>
        <v>810311.37974825979</v>
      </c>
      <c r="G2" s="13">
        <f>F2*IF(E2="", Parameters!$B$2, E2)</f>
        <v>1296498207.5972157</v>
      </c>
      <c r="H2" s="2">
        <f>G2*Parameters!$B$4</f>
        <v>33708953.397527605</v>
      </c>
      <c r="I2" s="2">
        <f>1/POWER(1+Parameters!$B$5, A2)</f>
        <v>0.90909090909090906</v>
      </c>
      <c r="J2" s="6">
        <f t="shared" ref="J2:J33" si="0">H2*I2</f>
        <v>30644503.088661458</v>
      </c>
      <c r="K2" s="6">
        <f>SUM($G$2:G2)</f>
        <v>1296498207.5972157</v>
      </c>
      <c r="L2">
        <f>F2*0.95</f>
        <v>769795.81076084671</v>
      </c>
      <c r="M2" s="14">
        <f>L2*IF(E2="",Parameters!$B$2,E2)</f>
        <v>1231673297.2173548</v>
      </c>
      <c r="N2" s="17">
        <f>M2*0.0251</f>
        <v>30914999.760155607</v>
      </c>
      <c r="O2" s="17">
        <f>N2*I2</f>
        <v>28104545.236505095</v>
      </c>
    </row>
    <row r="3" spans="1:15">
      <c r="A3" s="2">
        <v>2</v>
      </c>
      <c r="B3" s="2">
        <v>16000000</v>
      </c>
      <c r="C3" s="2">
        <v>1.921</v>
      </c>
      <c r="D3" s="2">
        <v>0.82</v>
      </c>
      <c r="E3" s="2">
        <v>1600</v>
      </c>
      <c r="F3" s="2">
        <f>IFERROR(B3*C3*IF(D3="", Parameters!$B$2, D3)/Parameters!$B$6, 0)</f>
        <v>810311.37974825979</v>
      </c>
      <c r="G3" s="13">
        <f>F3*IF(E3="", Parameters!$B$2, E3)</f>
        <v>1296498207.5972157</v>
      </c>
      <c r="H3" s="2">
        <f>G3*Parameters!$B$4</f>
        <v>33708953.397527605</v>
      </c>
      <c r="I3" s="2">
        <f>1/POWER(1+Parameters!$B$5, A3)</f>
        <v>0.82644628099173545</v>
      </c>
      <c r="J3" s="6">
        <f t="shared" si="0"/>
        <v>27858639.171510413</v>
      </c>
      <c r="K3" s="6">
        <f>SUM($G$2:G3)</f>
        <v>2592996415.1944313</v>
      </c>
      <c r="L3">
        <f t="shared" ref="L3:L35" si="1">F3*0.95</f>
        <v>769795.81076084671</v>
      </c>
      <c r="M3" s="14">
        <f>L3*IF(E3="",Parameters!$B$2,E3)</f>
        <v>1231673297.2173548</v>
      </c>
      <c r="N3" s="17">
        <f t="shared" ref="N3:N32" si="2">M3*0.0251</f>
        <v>30914999.760155607</v>
      </c>
      <c r="O3" s="17">
        <f t="shared" ref="O3:O27" si="3">N3*I3</f>
        <v>25549586.578640994</v>
      </c>
    </row>
    <row r="4" spans="1:15">
      <c r="A4" s="2">
        <v>3</v>
      </c>
      <c r="B4" s="2">
        <v>16000000</v>
      </c>
      <c r="C4" s="2">
        <v>1.921</v>
      </c>
      <c r="D4" s="2">
        <v>0.82</v>
      </c>
      <c r="E4" s="2">
        <v>1600</v>
      </c>
      <c r="F4" s="2">
        <f>IFERROR(B4*C4*IF(D4="", Parameters!$B$2, D4)/Parameters!$B$6, 0)</f>
        <v>810311.37974825979</v>
      </c>
      <c r="G4" s="13">
        <f>F4*IF(E4="", Parameters!$B$2, E4)</f>
        <v>1296498207.5972157</v>
      </c>
      <c r="H4" s="2">
        <f>G4*Parameters!$B$4</f>
        <v>33708953.397527605</v>
      </c>
      <c r="I4" s="2">
        <f>1/POWER(1+Parameters!$B$5, A4)</f>
        <v>0.75131480090157754</v>
      </c>
      <c r="J4" s="6">
        <f t="shared" si="0"/>
        <v>25326035.61046401</v>
      </c>
      <c r="K4" s="6">
        <f>SUM($G$2:G4)</f>
        <v>3889494622.791647</v>
      </c>
      <c r="L4">
        <f t="shared" si="1"/>
        <v>769795.81076084671</v>
      </c>
      <c r="M4" s="14">
        <f>L4*IF(E4="",Parameters!$B$2,E4)</f>
        <v>1231673297.2173548</v>
      </c>
      <c r="N4" s="17">
        <f t="shared" si="2"/>
        <v>30914999.760155607</v>
      </c>
      <c r="O4" s="17">
        <f t="shared" si="3"/>
        <v>23226896.889673628</v>
      </c>
    </row>
    <row r="5" spans="1:15">
      <c r="A5" s="2">
        <v>4</v>
      </c>
      <c r="B5" s="2">
        <v>16000000</v>
      </c>
      <c r="C5" s="2">
        <v>1.921</v>
      </c>
      <c r="D5" s="2">
        <v>0.82</v>
      </c>
      <c r="E5" s="2">
        <v>1600</v>
      </c>
      <c r="F5" s="2">
        <f>IFERROR(B5*C5*IF(D5="", Parameters!$B$2, D5)/Parameters!$B$6, 0)</f>
        <v>810311.37974825979</v>
      </c>
      <c r="G5" s="13">
        <f>F5*IF(E5="", Parameters!$B$2, E5)</f>
        <v>1296498207.5972157</v>
      </c>
      <c r="H5" s="2">
        <f>G5*Parameters!$B$4</f>
        <v>33708953.397527605</v>
      </c>
      <c r="I5" s="2">
        <f>1/POWER(1+Parameters!$B$5, A5)</f>
        <v>0.68301345536507052</v>
      </c>
      <c r="J5" s="6">
        <f t="shared" si="0"/>
        <v>23023668.736785464</v>
      </c>
      <c r="K5" s="6">
        <f>SUM($G$2:G5)</f>
        <v>5185992830.3888626</v>
      </c>
      <c r="L5">
        <f t="shared" si="1"/>
        <v>769795.81076084671</v>
      </c>
      <c r="M5" s="14">
        <f>L5*IF(E5="",Parameters!$B$2,E5)</f>
        <v>1231673297.2173548</v>
      </c>
      <c r="N5" s="17">
        <f t="shared" si="2"/>
        <v>30914999.760155607</v>
      </c>
      <c r="O5" s="17">
        <f t="shared" si="3"/>
        <v>21115360.808794208</v>
      </c>
    </row>
    <row r="6" spans="1:15">
      <c r="A6" s="2">
        <v>5</v>
      </c>
      <c r="B6" s="2">
        <v>16000000</v>
      </c>
      <c r="C6" s="2">
        <v>1.921</v>
      </c>
      <c r="D6" s="2">
        <v>0.82</v>
      </c>
      <c r="E6" s="2">
        <v>1600</v>
      </c>
      <c r="F6" s="2">
        <f>IFERROR(B6*C6*IF(D6="", Parameters!$B$2, D6)/Parameters!$B$6, 0)</f>
        <v>810311.37974825979</v>
      </c>
      <c r="G6" s="13">
        <f>F6*IF(E6="", Parameters!$B$2, E6)</f>
        <v>1296498207.5972157</v>
      </c>
      <c r="H6" s="2">
        <f>G6*Parameters!$B$4</f>
        <v>33708953.397527605</v>
      </c>
      <c r="I6" s="2">
        <f>1/POWER(1+Parameters!$B$5, A6)</f>
        <v>0.62092132305915493</v>
      </c>
      <c r="J6" s="6">
        <f t="shared" si="0"/>
        <v>20930607.942532238</v>
      </c>
      <c r="K6" s="6">
        <f>SUM($G$2:G6)</f>
        <v>6482491037.9860783</v>
      </c>
      <c r="L6">
        <f t="shared" si="1"/>
        <v>769795.81076084671</v>
      </c>
      <c r="M6" s="14">
        <f>L6*IF(E6="",Parameters!$B$2,E6)</f>
        <v>1231673297.2173548</v>
      </c>
      <c r="N6" s="17">
        <f t="shared" si="2"/>
        <v>30914999.760155607</v>
      </c>
      <c r="O6" s="17">
        <f t="shared" si="3"/>
        <v>19195782.553449277</v>
      </c>
    </row>
    <row r="7" spans="1:15">
      <c r="A7" s="2">
        <v>6</v>
      </c>
      <c r="B7" s="2">
        <v>16000000</v>
      </c>
      <c r="C7" s="2">
        <v>1.921</v>
      </c>
      <c r="D7" s="2">
        <v>0.82</v>
      </c>
      <c r="E7" s="2">
        <v>1600</v>
      </c>
      <c r="F7" s="2">
        <f>IFERROR(B7*C7*IF(D7="", Parameters!$B$2, D7)/Parameters!$B$6, 0)</f>
        <v>810311.37974825979</v>
      </c>
      <c r="G7" s="13">
        <f>F7*IF(E7="", Parameters!$B$2, E7)</f>
        <v>1296498207.5972157</v>
      </c>
      <c r="H7" s="2">
        <f>G7*Parameters!$B$4</f>
        <v>33708953.397527605</v>
      </c>
      <c r="I7" s="2">
        <f>1/POWER(1+Parameters!$B$5, A7)</f>
        <v>0.56447393005377722</v>
      </c>
      <c r="J7" s="6">
        <f t="shared" si="0"/>
        <v>19027825.402302034</v>
      </c>
      <c r="K7" s="6">
        <f>SUM($G$2:G7)</f>
        <v>7778989245.5832939</v>
      </c>
      <c r="L7">
        <f t="shared" si="1"/>
        <v>769795.81076084671</v>
      </c>
      <c r="M7" s="14">
        <f>L7*IF(E7="",Parameters!$B$2,E7)</f>
        <v>1231673297.2173548</v>
      </c>
      <c r="N7" s="17">
        <f t="shared" si="2"/>
        <v>30914999.760155607</v>
      </c>
      <c r="O7" s="17">
        <f t="shared" si="3"/>
        <v>17450711.412226617</v>
      </c>
    </row>
    <row r="8" spans="1:15">
      <c r="A8" s="2">
        <v>7</v>
      </c>
      <c r="B8" s="2">
        <v>16000000</v>
      </c>
      <c r="C8" s="2">
        <v>1.921</v>
      </c>
      <c r="D8" s="2">
        <v>0.82</v>
      </c>
      <c r="E8" s="2">
        <v>1600</v>
      </c>
      <c r="F8" s="2">
        <f>IFERROR(B8*C8*IF(D8="", Parameters!$B$2, D8)/Parameters!$B$6, 0)</f>
        <v>810311.37974825979</v>
      </c>
      <c r="G8" s="13">
        <f>F8*IF(E8="", Parameters!$B$2, E8)</f>
        <v>1296498207.5972157</v>
      </c>
      <c r="H8" s="2">
        <f>G8*Parameters!$B$4</f>
        <v>33708953.397527605</v>
      </c>
      <c r="I8" s="2">
        <f>1/POWER(1+Parameters!$B$5, A8)</f>
        <v>0.51315811823070645</v>
      </c>
      <c r="J8" s="6">
        <f t="shared" si="0"/>
        <v>17298023.093001846</v>
      </c>
      <c r="K8" s="6">
        <f>SUM($G$2:G8)</f>
        <v>9075487453.1805096</v>
      </c>
      <c r="L8">
        <f t="shared" si="1"/>
        <v>769795.81076084671</v>
      </c>
      <c r="M8" s="14">
        <f>L8*IF(E8="",Parameters!$B$2,E8)</f>
        <v>1231673297.2173548</v>
      </c>
      <c r="N8" s="17">
        <f t="shared" si="2"/>
        <v>30914999.760155607</v>
      </c>
      <c r="O8" s="17">
        <f t="shared" si="3"/>
        <v>15864283.102024192</v>
      </c>
    </row>
    <row r="9" spans="1:15">
      <c r="A9" s="2">
        <v>8</v>
      </c>
      <c r="B9" s="2">
        <v>16000000</v>
      </c>
      <c r="C9" s="2">
        <v>1.921</v>
      </c>
      <c r="D9" s="2">
        <v>0.82</v>
      </c>
      <c r="E9" s="2">
        <v>1600</v>
      </c>
      <c r="F9" s="2">
        <f>IFERROR(B9*C9*IF(D9="", Parameters!$B$2, D9)/Parameters!$B$6, 0)</f>
        <v>810311.37974825979</v>
      </c>
      <c r="G9" s="13">
        <f>F9*IF(E9="", Parameters!$B$2, E9)</f>
        <v>1296498207.5972157</v>
      </c>
      <c r="H9" s="2">
        <f>G9*Parameters!$B$4</f>
        <v>33708953.397527605</v>
      </c>
      <c r="I9" s="2">
        <f>1/POWER(1+Parameters!$B$5, A9)</f>
        <v>0.46650738020973315</v>
      </c>
      <c r="J9" s="6">
        <f t="shared" si="0"/>
        <v>15725475.539092587</v>
      </c>
      <c r="K9" s="6">
        <f>SUM($G$2:G9)</f>
        <v>10371985660.777725</v>
      </c>
      <c r="L9">
        <f t="shared" si="1"/>
        <v>769795.81076084671</v>
      </c>
      <c r="M9" s="14">
        <f>L9*IF(E9="",Parameters!$B$2,E9)</f>
        <v>1231673297.2173548</v>
      </c>
      <c r="N9" s="17">
        <f t="shared" si="2"/>
        <v>30914999.760155607</v>
      </c>
      <c r="O9" s="17">
        <f t="shared" si="3"/>
        <v>14422075.547294721</v>
      </c>
    </row>
    <row r="10" spans="1:15">
      <c r="A10" s="2">
        <v>9</v>
      </c>
      <c r="B10" s="2">
        <v>16000000</v>
      </c>
      <c r="C10" s="2">
        <v>1.921</v>
      </c>
      <c r="D10" s="2">
        <v>0.82</v>
      </c>
      <c r="E10" s="2">
        <v>1600</v>
      </c>
      <c r="F10" s="2">
        <f>IFERROR(B10*C10*IF(D10="", Parameters!$B$2, D10)/Parameters!$B$6, 0)</f>
        <v>810311.37974825979</v>
      </c>
      <c r="G10" s="13">
        <f>F10*IF(E10="", Parameters!$B$2, E10)</f>
        <v>1296498207.5972157</v>
      </c>
      <c r="H10" s="2">
        <f>G10*Parameters!$B$4</f>
        <v>33708953.397527605</v>
      </c>
      <c r="I10" s="2">
        <f>1/POWER(1+Parameters!$B$5, A10)</f>
        <v>0.42409761837248466</v>
      </c>
      <c r="J10" s="6">
        <f t="shared" si="0"/>
        <v>14295886.853720533</v>
      </c>
      <c r="K10" s="6">
        <f>SUM($G$2:G10)</f>
        <v>11668483868.374941</v>
      </c>
      <c r="L10">
        <f t="shared" si="1"/>
        <v>769795.81076084671</v>
      </c>
      <c r="M10" s="14">
        <f>L10*IF(E10="",Parameters!$B$2,E10)</f>
        <v>1231673297.2173548</v>
      </c>
      <c r="N10" s="17">
        <f t="shared" si="2"/>
        <v>30914999.760155607</v>
      </c>
      <c r="O10" s="17">
        <f t="shared" si="3"/>
        <v>13110977.770267928</v>
      </c>
    </row>
    <row r="11" spans="1:15">
      <c r="A11" s="2">
        <v>10</v>
      </c>
      <c r="B11" s="2">
        <v>16000000</v>
      </c>
      <c r="C11" s="2">
        <v>1.921</v>
      </c>
      <c r="D11" s="2">
        <v>0.82</v>
      </c>
      <c r="E11" s="2">
        <v>1600</v>
      </c>
      <c r="F11" s="2">
        <f>IFERROR(B11*C11*IF(D11="", Parameters!$B$2, D11)/Parameters!$B$6, 0)</f>
        <v>810311.37974825979</v>
      </c>
      <c r="G11" s="13">
        <f>F11*IF(E11="", Parameters!$B$2, E11)</f>
        <v>1296498207.5972157</v>
      </c>
      <c r="H11" s="2">
        <f>G11*Parameters!$B$4</f>
        <v>33708953.397527605</v>
      </c>
      <c r="I11" s="2">
        <f>1/POWER(1+Parameters!$B$5, A11)</f>
        <v>0.38554328942953148</v>
      </c>
      <c r="J11" s="6">
        <f t="shared" si="0"/>
        <v>12996260.776109574</v>
      </c>
      <c r="K11" s="6">
        <f>SUM($G$2:G11)</f>
        <v>12964982075.972157</v>
      </c>
      <c r="L11">
        <f t="shared" si="1"/>
        <v>769795.81076084671</v>
      </c>
      <c r="M11" s="14">
        <f>L11*IF(E11="",Parameters!$B$2,E11)</f>
        <v>1231673297.2173548</v>
      </c>
      <c r="N11" s="17">
        <f t="shared" si="2"/>
        <v>30914999.760155607</v>
      </c>
      <c r="O11" s="17">
        <f t="shared" si="3"/>
        <v>11919070.70024357</v>
      </c>
    </row>
    <row r="12" spans="1:15">
      <c r="A12" s="2">
        <v>11</v>
      </c>
      <c r="B12" s="2">
        <v>16000000</v>
      </c>
      <c r="C12" s="2">
        <v>1.921</v>
      </c>
      <c r="D12" s="2">
        <v>0.82</v>
      </c>
      <c r="E12" s="2">
        <v>1600</v>
      </c>
      <c r="F12" s="2">
        <f>IFERROR(B12*C12*IF(D12="", Parameters!$B$2, D12)/Parameters!$B$6, 0)</f>
        <v>810311.37974825979</v>
      </c>
      <c r="G12" s="13">
        <f>F12*IF(E12="", Parameters!$B$2, E12)</f>
        <v>1296498207.5972157</v>
      </c>
      <c r="H12" s="2">
        <f>G12*Parameters!$B$4</f>
        <v>33708953.397527605</v>
      </c>
      <c r="I12" s="2">
        <f>1/POWER(1+Parameters!$B$5, A12)</f>
        <v>0.3504938994813922</v>
      </c>
      <c r="J12" s="6">
        <f t="shared" si="0"/>
        <v>11814782.523735974</v>
      </c>
      <c r="K12" s="6">
        <f>SUM($G$2:G12)</f>
        <v>14261480283.569372</v>
      </c>
      <c r="L12">
        <f t="shared" si="1"/>
        <v>769795.81076084671</v>
      </c>
      <c r="M12" s="14">
        <f>L12*IF(E12="",Parameters!$B$2,E12)</f>
        <v>1231673297.2173548</v>
      </c>
      <c r="N12" s="17">
        <f t="shared" si="2"/>
        <v>30914999.760155607</v>
      </c>
      <c r="O12" s="17">
        <f t="shared" si="3"/>
        <v>10835518.818403244</v>
      </c>
    </row>
    <row r="13" spans="1:15">
      <c r="A13" s="2">
        <v>12</v>
      </c>
      <c r="B13" s="2">
        <v>16000000</v>
      </c>
      <c r="C13" s="2">
        <v>1.921</v>
      </c>
      <c r="D13" s="2">
        <v>0.82</v>
      </c>
      <c r="E13" s="2">
        <v>1600</v>
      </c>
      <c r="F13" s="2">
        <f>IFERROR(B13*C13*IF(D13="", Parameters!$B$2, D13)/Parameters!$B$6, 0)</f>
        <v>810311.37974825979</v>
      </c>
      <c r="G13" s="13">
        <f>F13*IF(E13="", Parameters!$B$2, E13)</f>
        <v>1296498207.5972157</v>
      </c>
      <c r="H13" s="2">
        <f>G13*Parameters!$B$4</f>
        <v>33708953.397527605</v>
      </c>
      <c r="I13" s="2">
        <f>1/POWER(1+Parameters!$B$5, A13)</f>
        <v>0.31863081771035656</v>
      </c>
      <c r="J13" s="6">
        <f t="shared" si="0"/>
        <v>10740711.385214522</v>
      </c>
      <c r="K13" s="6">
        <f>SUM($G$2:G13)</f>
        <v>15557978491.166588</v>
      </c>
      <c r="L13">
        <f t="shared" si="1"/>
        <v>769795.81076084671</v>
      </c>
      <c r="M13" s="14">
        <f>L13*IF(E13="",Parameters!$B$2,E13)</f>
        <v>1231673297.2173548</v>
      </c>
      <c r="N13" s="17">
        <f t="shared" si="2"/>
        <v>30914999.760155607</v>
      </c>
      <c r="O13" s="17">
        <f t="shared" si="3"/>
        <v>9850471.6530938577</v>
      </c>
    </row>
    <row r="14" spans="1:15">
      <c r="A14" s="2">
        <v>13</v>
      </c>
      <c r="B14" s="2">
        <v>16000000</v>
      </c>
      <c r="C14" s="2">
        <v>1.921</v>
      </c>
      <c r="D14" s="2">
        <v>0.82</v>
      </c>
      <c r="E14" s="2">
        <v>1600</v>
      </c>
      <c r="F14" s="2">
        <f>IFERROR(B14*C14*IF(D14="", Parameters!$B$2, D14)/Parameters!$B$6, 0)</f>
        <v>810311.37974825979</v>
      </c>
      <c r="G14" s="13">
        <f>F14*IF(E14="", Parameters!$B$2, E14)</f>
        <v>1296498207.5972157</v>
      </c>
      <c r="H14" s="2">
        <f>G14*Parameters!$B$4</f>
        <v>33708953.397527605</v>
      </c>
      <c r="I14" s="2">
        <f>1/POWER(1+Parameters!$B$5, A14)</f>
        <v>0.28966437973668779</v>
      </c>
      <c r="J14" s="6">
        <f t="shared" si="0"/>
        <v>9764283.0774677489</v>
      </c>
      <c r="K14" s="6">
        <f>SUM($G$2:G14)</f>
        <v>16854476698.763803</v>
      </c>
      <c r="L14">
        <f t="shared" si="1"/>
        <v>769795.81076084671</v>
      </c>
      <c r="M14" s="14">
        <f>L14*IF(E14="",Parameters!$B$2,E14)</f>
        <v>1231673297.2173548</v>
      </c>
      <c r="N14" s="17">
        <f t="shared" si="2"/>
        <v>30914999.760155607</v>
      </c>
      <c r="O14" s="17">
        <f t="shared" si="3"/>
        <v>8954974.2300853264</v>
      </c>
    </row>
    <row r="15" spans="1:15">
      <c r="A15" s="2">
        <v>14</v>
      </c>
      <c r="B15" s="2">
        <v>16000000</v>
      </c>
      <c r="C15" s="2">
        <v>1.921</v>
      </c>
      <c r="D15" s="2">
        <v>0.82</v>
      </c>
      <c r="E15" s="2">
        <v>1600</v>
      </c>
      <c r="F15" s="2">
        <f>IFERROR(B15*C15*IF(D15="", Parameters!$B$2, D15)/Parameters!$B$6, 0)</f>
        <v>810311.37974825979</v>
      </c>
      <c r="G15" s="13">
        <f>F15*IF(E15="", Parameters!$B$2, E15)</f>
        <v>1296498207.5972157</v>
      </c>
      <c r="H15" s="2">
        <f>G15*Parameters!$B$4</f>
        <v>33708953.397527605</v>
      </c>
      <c r="I15" s="2">
        <f>1/POWER(1+Parameters!$B$5, A15)</f>
        <v>0.26333125430607973</v>
      </c>
      <c r="J15" s="6">
        <f t="shared" si="0"/>
        <v>8876620.9795161318</v>
      </c>
      <c r="K15" s="6">
        <f>SUM($G$2:G15)</f>
        <v>18150974906.361019</v>
      </c>
      <c r="L15">
        <f t="shared" si="1"/>
        <v>769795.81076084671</v>
      </c>
      <c r="M15" s="14">
        <f>L15*IF(E15="",Parameters!$B$2,E15)</f>
        <v>1231673297.2173548</v>
      </c>
      <c r="N15" s="17">
        <f t="shared" si="2"/>
        <v>30914999.760155607</v>
      </c>
      <c r="O15" s="17">
        <f t="shared" si="3"/>
        <v>8140885.6637139302</v>
      </c>
    </row>
    <row r="16" spans="1:15">
      <c r="A16" s="2">
        <v>15</v>
      </c>
      <c r="B16" s="2">
        <v>16000000</v>
      </c>
      <c r="C16" s="2">
        <v>1.921</v>
      </c>
      <c r="D16" s="2">
        <v>0.82</v>
      </c>
      <c r="E16" s="2">
        <v>1600</v>
      </c>
      <c r="F16" s="2">
        <f>IFERROR(B16*C16*IF(D16="", Parameters!$B$2, D16)/Parameters!$B$6, 0)</f>
        <v>810311.37974825979</v>
      </c>
      <c r="G16" s="13">
        <f>F16*IF(E16="", Parameters!$B$2, E16)</f>
        <v>1296498207.5972157</v>
      </c>
      <c r="H16" s="2">
        <f>G16*Parameters!$B$4</f>
        <v>33708953.397527605</v>
      </c>
      <c r="I16" s="2">
        <f>1/POWER(1+Parameters!$B$5, A16)</f>
        <v>0.23939204936916339</v>
      </c>
      <c r="J16" s="6">
        <f t="shared" si="0"/>
        <v>8069655.4359237561</v>
      </c>
      <c r="K16" s="6">
        <f>SUM($G$2:G16)</f>
        <v>19447473113.958237</v>
      </c>
      <c r="L16">
        <f t="shared" si="1"/>
        <v>769795.81076084671</v>
      </c>
      <c r="M16" s="14">
        <f>L16*IF(E16="",Parameters!$B$2,E16)</f>
        <v>1231673297.2173548</v>
      </c>
      <c r="N16" s="17">
        <f t="shared" si="2"/>
        <v>30914999.760155607</v>
      </c>
      <c r="O16" s="17">
        <f t="shared" si="3"/>
        <v>7400805.148830845</v>
      </c>
    </row>
    <row r="17" spans="1:15">
      <c r="A17" s="2">
        <v>16</v>
      </c>
      <c r="B17" s="2">
        <v>16000000</v>
      </c>
      <c r="C17" s="2">
        <v>1.921</v>
      </c>
      <c r="D17" s="2">
        <v>0.82</v>
      </c>
      <c r="E17" s="2">
        <v>1600</v>
      </c>
      <c r="F17" s="2">
        <f>IFERROR(B17*C17*IF(D17="", Parameters!$B$2, D17)/Parameters!$B$6, 0)</f>
        <v>810311.37974825979</v>
      </c>
      <c r="G17" s="13">
        <f>F17*IF(E17="", Parameters!$B$2, E17)</f>
        <v>1296498207.5972157</v>
      </c>
      <c r="H17" s="2">
        <f>G17*Parameters!$B$4</f>
        <v>33708953.397527605</v>
      </c>
      <c r="I17" s="2">
        <f>1/POWER(1+Parameters!$B$5, A17)</f>
        <v>0.21762913579014853</v>
      </c>
      <c r="J17" s="6">
        <f t="shared" si="0"/>
        <v>7336050.3962943237</v>
      </c>
      <c r="K17" s="6">
        <f>SUM($G$2:G17)</f>
        <v>20743971321.55545</v>
      </c>
      <c r="L17">
        <f t="shared" si="1"/>
        <v>769795.81076084671</v>
      </c>
      <c r="M17" s="14">
        <f>L17*IF(E17="",Parameters!$B$2,E17)</f>
        <v>1231673297.2173548</v>
      </c>
      <c r="N17" s="17">
        <f t="shared" si="2"/>
        <v>30914999.760155607</v>
      </c>
      <c r="O17" s="17">
        <f t="shared" si="3"/>
        <v>6728004.6807553135</v>
      </c>
    </row>
    <row r="18" spans="1:15">
      <c r="A18" s="2">
        <v>17</v>
      </c>
      <c r="B18" s="2">
        <v>16000000</v>
      </c>
      <c r="C18" s="2">
        <v>1.921</v>
      </c>
      <c r="D18" s="2">
        <v>0.82</v>
      </c>
      <c r="E18" s="2">
        <v>1600</v>
      </c>
      <c r="F18" s="2">
        <f>IFERROR(B18*C18*IF(D18="", Parameters!$B$2, D18)/Parameters!$B$6, 0)</f>
        <v>810311.37974825979</v>
      </c>
      <c r="G18" s="13">
        <f>F18*IF(E18="", Parameters!$B$2, E18)</f>
        <v>1296498207.5972157</v>
      </c>
      <c r="H18" s="2">
        <f>G18*Parameters!$B$4</f>
        <v>33708953.397527605</v>
      </c>
      <c r="I18" s="2">
        <f>1/POWER(1+Parameters!$B$5, A18)</f>
        <v>0.19784466890013502</v>
      </c>
      <c r="J18" s="6">
        <f t="shared" si="0"/>
        <v>6669136.7239039307</v>
      </c>
      <c r="K18" s="6">
        <f>SUM($G$2:G18)</f>
        <v>22040469529.152664</v>
      </c>
      <c r="L18">
        <f t="shared" si="1"/>
        <v>769795.81076084671</v>
      </c>
      <c r="M18" s="14">
        <f>L18*IF(E18="",Parameters!$B$2,E18)</f>
        <v>1231673297.2173548</v>
      </c>
      <c r="N18" s="17">
        <f t="shared" si="2"/>
        <v>30914999.760155607</v>
      </c>
      <c r="O18" s="17">
        <f t="shared" si="3"/>
        <v>6116367.8915957399</v>
      </c>
    </row>
    <row r="19" spans="1:15">
      <c r="A19" s="2">
        <v>18</v>
      </c>
      <c r="B19" s="2">
        <v>16000000</v>
      </c>
      <c r="C19" s="2">
        <v>1.921</v>
      </c>
      <c r="D19" s="2">
        <v>0.82</v>
      </c>
      <c r="E19" s="2">
        <v>1600</v>
      </c>
      <c r="F19" s="2">
        <f>IFERROR(B19*C19*IF(D19="", Parameters!$B$2, D19)/Parameters!$B$6, 0)</f>
        <v>810311.37974825979</v>
      </c>
      <c r="G19" s="13">
        <f>F19*IF(E19="", Parameters!$B$2, E19)</f>
        <v>1296498207.5972157</v>
      </c>
      <c r="H19" s="2">
        <f>G19*Parameters!$B$4</f>
        <v>33708953.397527605</v>
      </c>
      <c r="I19" s="2">
        <f>1/POWER(1+Parameters!$B$5, A19)</f>
        <v>0.17985878990921364</v>
      </c>
      <c r="J19" s="6">
        <f t="shared" si="0"/>
        <v>6062851.5671853907</v>
      </c>
      <c r="K19" s="6">
        <f>SUM($G$2:G19)</f>
        <v>23336967736.749878</v>
      </c>
      <c r="L19">
        <f t="shared" si="1"/>
        <v>769795.81076084671</v>
      </c>
      <c r="M19" s="14">
        <f>L19*IF(E19="",Parameters!$B$2,E19)</f>
        <v>1231673297.2173548</v>
      </c>
      <c r="N19" s="17">
        <f t="shared" si="2"/>
        <v>30914999.760155607</v>
      </c>
      <c r="O19" s="17">
        <f t="shared" si="3"/>
        <v>5560334.4469052171</v>
      </c>
    </row>
    <row r="20" spans="1:15">
      <c r="A20" s="2">
        <v>19</v>
      </c>
      <c r="B20" s="2">
        <v>16000000</v>
      </c>
      <c r="C20" s="2">
        <v>1.921</v>
      </c>
      <c r="D20" s="2">
        <v>0.82</v>
      </c>
      <c r="E20" s="2">
        <v>1600</v>
      </c>
      <c r="F20" s="2">
        <f>IFERROR(B20*C20*IF(D20="", Parameters!$B$2, D20)/Parameters!$B$6, 0)</f>
        <v>810311.37974825979</v>
      </c>
      <c r="G20" s="13">
        <f>F20*IF(E20="", Parameters!$B$2, E20)</f>
        <v>1296498207.5972157</v>
      </c>
      <c r="H20" s="2">
        <f>G20*Parameters!$B$4</f>
        <v>33708953.397527605</v>
      </c>
      <c r="I20" s="2">
        <f>1/POWER(1+Parameters!$B$5, A20)</f>
        <v>0.16350799082655781</v>
      </c>
      <c r="J20" s="6">
        <f t="shared" si="0"/>
        <v>5511683.242895809</v>
      </c>
      <c r="K20" s="6">
        <f>SUM($G$2:G20)</f>
        <v>24633465944.347092</v>
      </c>
      <c r="L20">
        <f t="shared" si="1"/>
        <v>769795.81076084671</v>
      </c>
      <c r="M20" s="14">
        <f>L20*IF(E20="",Parameters!$B$2,E20)</f>
        <v>1231673297.2173548</v>
      </c>
      <c r="N20" s="17">
        <f t="shared" si="2"/>
        <v>30914999.760155607</v>
      </c>
      <c r="O20" s="17">
        <f t="shared" si="3"/>
        <v>5054849.4971865602</v>
      </c>
    </row>
    <row r="21" spans="1:15">
      <c r="A21" s="2">
        <v>20</v>
      </c>
      <c r="B21" s="2">
        <v>16000000</v>
      </c>
      <c r="C21" s="2">
        <v>1.921</v>
      </c>
      <c r="D21" s="2">
        <v>0.82</v>
      </c>
      <c r="E21" s="2">
        <v>1600</v>
      </c>
      <c r="F21" s="2">
        <f>IFERROR(B21*C21*IF(D21="", Parameters!$B$2, D21)/Parameters!$B$6, 0)</f>
        <v>810311.37974825979</v>
      </c>
      <c r="G21" s="13">
        <f>F21*IF(E21="", Parameters!$B$2, E21)</f>
        <v>1296498207.5972157</v>
      </c>
      <c r="H21" s="2">
        <f>G21*Parameters!$B$4</f>
        <v>33708953.397527605</v>
      </c>
      <c r="I21" s="2">
        <f>1/POWER(1+Parameters!$B$5, A21)</f>
        <v>0.14864362802414349</v>
      </c>
      <c r="J21" s="6">
        <f t="shared" si="0"/>
        <v>5010621.1299052816</v>
      </c>
      <c r="K21" s="6">
        <f>SUM($G$2:G21)</f>
        <v>25929964151.944305</v>
      </c>
      <c r="L21">
        <f t="shared" si="1"/>
        <v>769795.81076084671</v>
      </c>
      <c r="M21" s="14">
        <f>L21*IF(E21="",Parameters!$B$2,E21)</f>
        <v>1231673297.2173548</v>
      </c>
      <c r="N21" s="17">
        <f t="shared" si="2"/>
        <v>30914999.760155607</v>
      </c>
      <c r="O21" s="17">
        <f t="shared" si="3"/>
        <v>4595317.724715055</v>
      </c>
    </row>
    <row r="22" spans="1:15">
      <c r="A22" s="2">
        <v>21</v>
      </c>
      <c r="B22" s="2">
        <v>16000000</v>
      </c>
      <c r="C22" s="2">
        <v>1.921</v>
      </c>
      <c r="D22" s="2">
        <v>0.82</v>
      </c>
      <c r="E22" s="2">
        <v>1600</v>
      </c>
      <c r="F22" s="2">
        <f>IFERROR(B22*C22*IF(D22="", Parameters!$B$2, D22)/Parameters!$B$6, 0)</f>
        <v>810311.37974825979</v>
      </c>
      <c r="G22" s="13">
        <f>F22*IF(E22="", Parameters!$B$2, E22)</f>
        <v>1296498207.5972157</v>
      </c>
      <c r="H22" s="2">
        <f>G22*Parameters!$B$4</f>
        <v>33708953.397527605</v>
      </c>
      <c r="I22" s="2">
        <f>1/POWER(1+Parameters!$B$5, A22)</f>
        <v>0.13513057093103953</v>
      </c>
      <c r="J22" s="6">
        <f t="shared" si="0"/>
        <v>4555110.1180957099</v>
      </c>
      <c r="K22" s="6">
        <f>SUM($G$2:G22)</f>
        <v>27226462359.541519</v>
      </c>
      <c r="L22">
        <f t="shared" si="1"/>
        <v>769795.81076084671</v>
      </c>
      <c r="M22" s="14">
        <f>L22*IF(E22="",Parameters!$B$2,E22)</f>
        <v>1231673297.2173548</v>
      </c>
      <c r="N22" s="17">
        <f t="shared" si="2"/>
        <v>30914999.760155607</v>
      </c>
      <c r="O22" s="17">
        <f t="shared" si="3"/>
        <v>4177561.5679227775</v>
      </c>
    </row>
    <row r="23" spans="1:15">
      <c r="A23" s="2">
        <v>22</v>
      </c>
      <c r="B23" s="2">
        <v>16000000</v>
      </c>
      <c r="C23" s="2">
        <v>1.921</v>
      </c>
      <c r="D23" s="2">
        <v>0.82</v>
      </c>
      <c r="E23" s="2">
        <v>1600</v>
      </c>
      <c r="F23" s="2">
        <f>IFERROR(B23*C23*IF(D23="", Parameters!$B$2, D23)/Parameters!$B$6, 0)</f>
        <v>810311.37974825979</v>
      </c>
      <c r="G23" s="13">
        <f>F23*IF(E23="", Parameters!$B$2, E23)</f>
        <v>1296498207.5972157</v>
      </c>
      <c r="H23" s="2">
        <f>G23*Parameters!$B$4</f>
        <v>33708953.397527605</v>
      </c>
      <c r="I23" s="2">
        <f>1/POWER(1+Parameters!$B$5, A23)</f>
        <v>0.12284597357367227</v>
      </c>
      <c r="J23" s="6">
        <f t="shared" si="0"/>
        <v>4141009.1982688266</v>
      </c>
      <c r="K23" s="6">
        <f>SUM($G$2:G23)</f>
        <v>28522960567.138733</v>
      </c>
      <c r="L23">
        <f t="shared" si="1"/>
        <v>769795.81076084671</v>
      </c>
      <c r="M23" s="14">
        <f>L23*IF(E23="",Parameters!$B$2,E23)</f>
        <v>1231673297.2173548</v>
      </c>
      <c r="N23" s="17">
        <f t="shared" si="2"/>
        <v>30914999.760155607</v>
      </c>
      <c r="O23" s="17">
        <f t="shared" si="3"/>
        <v>3797783.2435661606</v>
      </c>
    </row>
    <row r="24" spans="1:15">
      <c r="A24" s="2">
        <v>23</v>
      </c>
      <c r="B24" s="2">
        <v>16000000</v>
      </c>
      <c r="C24" s="2">
        <v>1.921</v>
      </c>
      <c r="D24" s="2">
        <v>0.82</v>
      </c>
      <c r="E24" s="2">
        <v>1600</v>
      </c>
      <c r="F24" s="2">
        <f>IFERROR(B24*C24*IF(D24="", Parameters!$B$2, D24)/Parameters!$B$6, 0)</f>
        <v>810311.37974825979</v>
      </c>
      <c r="G24" s="13">
        <f>F24*IF(E24="", Parameters!$B$2, E24)</f>
        <v>1296498207.5972157</v>
      </c>
      <c r="H24" s="2">
        <f>G24*Parameters!$B$4</f>
        <v>33708953.397527605</v>
      </c>
      <c r="I24" s="2">
        <f>1/POWER(1+Parameters!$B$5, A24)</f>
        <v>0.11167815779424752</v>
      </c>
      <c r="J24" s="6">
        <f t="shared" si="0"/>
        <v>3764553.8166080238</v>
      </c>
      <c r="K24" s="6">
        <f>SUM($G$2:G24)</f>
        <v>29819458774.735947</v>
      </c>
      <c r="L24">
        <f t="shared" si="1"/>
        <v>769795.81076084671</v>
      </c>
      <c r="M24" s="14">
        <f>L24*IF(E24="",Parameters!$B$2,E24)</f>
        <v>1231673297.2173548</v>
      </c>
      <c r="N24" s="17">
        <f t="shared" si="2"/>
        <v>30914999.760155607</v>
      </c>
      <c r="O24" s="17">
        <f t="shared" si="3"/>
        <v>3452530.2214237819</v>
      </c>
    </row>
    <row r="25" spans="1:15">
      <c r="A25" s="2">
        <v>24</v>
      </c>
      <c r="B25" s="2">
        <v>16000000</v>
      </c>
      <c r="C25" s="2">
        <v>1.921</v>
      </c>
      <c r="D25" s="2">
        <v>0.82</v>
      </c>
      <c r="E25" s="2">
        <v>1600</v>
      </c>
      <c r="F25" s="2">
        <f>IFERROR(B25*C25*IF(D25="", Parameters!$B$2, D25)/Parameters!$B$6, 0)</f>
        <v>810311.37974825979</v>
      </c>
      <c r="G25" s="13">
        <f>F25*IF(E25="", Parameters!$B$2, E25)</f>
        <v>1296498207.5972157</v>
      </c>
      <c r="H25" s="2">
        <f>G25*Parameters!$B$4</f>
        <v>33708953.397527605</v>
      </c>
      <c r="I25" s="2">
        <f>1/POWER(1+Parameters!$B$5, A25)</f>
        <v>0.10152559799477048</v>
      </c>
      <c r="J25" s="6">
        <f t="shared" si="0"/>
        <v>3422321.6514618401</v>
      </c>
      <c r="K25" s="6">
        <f>SUM($G$2:G25)</f>
        <v>31115956982.33316</v>
      </c>
      <c r="L25">
        <f t="shared" si="1"/>
        <v>769795.81076084671</v>
      </c>
      <c r="M25" s="14">
        <f>L25*IF(E25="",Parameters!$B$2,E25)</f>
        <v>1231673297.2173548</v>
      </c>
      <c r="N25" s="17">
        <f t="shared" si="2"/>
        <v>30914999.760155607</v>
      </c>
      <c r="O25" s="17">
        <f t="shared" si="3"/>
        <v>3138663.8376579839</v>
      </c>
    </row>
    <row r="26" spans="1:15">
      <c r="A26" s="2">
        <v>25</v>
      </c>
      <c r="B26" s="2">
        <v>16000000</v>
      </c>
      <c r="C26" s="2">
        <v>1.921</v>
      </c>
      <c r="D26" s="2">
        <v>0.82</v>
      </c>
      <c r="E26" s="2">
        <v>1600</v>
      </c>
      <c r="F26" s="2">
        <f>IFERROR(B26*C26*IF(D26="", Parameters!$B$2, D26)/Parameters!$B$6, 0)</f>
        <v>810311.37974825979</v>
      </c>
      <c r="G26" s="13">
        <f>F26*IF(E26="", Parameters!$B$2, E26)</f>
        <v>1296498207.5972157</v>
      </c>
      <c r="H26" s="2">
        <f>G26*Parameters!$B$4</f>
        <v>33708953.397527605</v>
      </c>
      <c r="I26" s="2">
        <f>1/POWER(1+Parameters!$B$5, A26)</f>
        <v>9.2295998177064048E-2</v>
      </c>
      <c r="J26" s="6">
        <f t="shared" si="0"/>
        <v>3111201.5013289447</v>
      </c>
      <c r="K26" s="6">
        <f>SUM($G$2:G26)</f>
        <v>32412455189.930374</v>
      </c>
      <c r="L26">
        <f t="shared" si="1"/>
        <v>769795.81076084671</v>
      </c>
      <c r="M26" s="14">
        <f>L26*IF(E26="",Parameters!$B$2,E26)</f>
        <v>1231673297.2173548</v>
      </c>
      <c r="N26" s="17">
        <f t="shared" si="2"/>
        <v>30914999.760155607</v>
      </c>
      <c r="O26" s="17">
        <f t="shared" si="3"/>
        <v>2853330.7615072574</v>
      </c>
    </row>
    <row r="27" spans="1:15">
      <c r="A27" s="2">
        <v>26</v>
      </c>
      <c r="B27" s="2">
        <v>16000000</v>
      </c>
      <c r="C27" s="2">
        <v>1.921</v>
      </c>
      <c r="D27" s="2">
        <v>0.82</v>
      </c>
      <c r="E27" s="2">
        <v>1600</v>
      </c>
      <c r="F27" s="2">
        <f>IFERROR(B27*C27*IF(D27="", Parameters!$B$2, D27)/Parameters!$B$6, 0)</f>
        <v>810311.37974825979</v>
      </c>
      <c r="G27" s="13">
        <f>F27*IF(E27="", Parameters!$B$2, E27)</f>
        <v>1296498207.5972157</v>
      </c>
      <c r="H27" s="2">
        <f>G27*Parameters!$B$4</f>
        <v>33708953.397527605</v>
      </c>
      <c r="I27" s="2">
        <f>1/POWER(1+Parameters!$B$5, A27)</f>
        <v>8.3905452888240042E-2</v>
      </c>
      <c r="J27" s="6">
        <f t="shared" si="0"/>
        <v>2828365.0012081317</v>
      </c>
      <c r="K27" s="6">
        <f>SUM($G$2:G27)</f>
        <v>33708953397.527588</v>
      </c>
      <c r="L27">
        <f t="shared" si="1"/>
        <v>769795.81076084671</v>
      </c>
      <c r="M27" s="14">
        <f>L27*IF(E27="",Parameters!$B$2,E27)</f>
        <v>1231673297.2173548</v>
      </c>
      <c r="N27" s="17">
        <f t="shared" si="2"/>
        <v>30914999.760155607</v>
      </c>
      <c r="O27" s="17">
        <f t="shared" si="3"/>
        <v>2593937.0559156886</v>
      </c>
    </row>
    <row r="28" spans="1:15">
      <c r="A28" s="2">
        <v>27</v>
      </c>
      <c r="B28" s="2">
        <v>16000000</v>
      </c>
      <c r="C28" s="2">
        <v>1.921</v>
      </c>
      <c r="D28" s="2">
        <v>0.82</v>
      </c>
      <c r="E28" s="2">
        <v>1600</v>
      </c>
      <c r="F28" s="2">
        <f>IFERROR(B28*C28*IF(D28="", Parameters!$B$2, D28)/Parameters!$B$6, 0)</f>
        <v>810311.37974825979</v>
      </c>
      <c r="G28" s="13">
        <f>F28*IF(E28="", Parameters!$B$2, E28)</f>
        <v>1296498207.5972157</v>
      </c>
      <c r="H28" s="2">
        <f>G28*Parameters!$B$4</f>
        <v>33708953.397527605</v>
      </c>
      <c r="I28" s="2">
        <f>1/POWER(1+Parameters!$B$5, A28)</f>
        <v>7.6277684443854576E-2</v>
      </c>
      <c r="J28" s="6">
        <f t="shared" si="0"/>
        <v>2571240.9101892104</v>
      </c>
      <c r="K28" s="6">
        <f>SUM($G$2:G28)</f>
        <v>35005451605.124802</v>
      </c>
      <c r="L28">
        <f t="shared" ref="L28:L32" si="4">F28*0.95</f>
        <v>769795.81076084671</v>
      </c>
      <c r="M28" s="14">
        <f>L28*IF(E28="",Parameters!$B$2,E28)</f>
        <v>1231673297.2173548</v>
      </c>
      <c r="N28" s="17">
        <f t="shared" si="2"/>
        <v>30914999.760155607</v>
      </c>
      <c r="O28" s="17">
        <f t="shared" ref="O28:O32" si="5">N28*I28</f>
        <v>2358124.5962869893</v>
      </c>
    </row>
    <row r="29" spans="1:15">
      <c r="A29" s="2">
        <v>28</v>
      </c>
      <c r="B29" s="2">
        <v>16000000</v>
      </c>
      <c r="C29" s="2">
        <v>1.921</v>
      </c>
      <c r="D29" s="2">
        <v>0.82</v>
      </c>
      <c r="E29" s="2">
        <v>1600</v>
      </c>
      <c r="F29" s="2">
        <f>IFERROR(B29*C29*IF(D29="", Parameters!$B$2, D29)/Parameters!$B$6, 0)</f>
        <v>810311.37974825979</v>
      </c>
      <c r="G29" s="13">
        <f>F29*IF(E29="", Parameters!$B$2, E29)</f>
        <v>1296498207.5972157</v>
      </c>
      <c r="H29" s="2">
        <f>G29*Parameters!$B$4</f>
        <v>33708953.397527605</v>
      </c>
      <c r="I29" s="2">
        <f>1/POWER(1+Parameters!$B$5, A29)</f>
        <v>6.9343349494413245E-2</v>
      </c>
      <c r="J29" s="6">
        <f t="shared" si="0"/>
        <v>2337491.7365356456</v>
      </c>
      <c r="K29" s="6">
        <f>SUM($G$2:G29)</f>
        <v>36301949812.722015</v>
      </c>
      <c r="L29">
        <f t="shared" si="4"/>
        <v>769795.81076084671</v>
      </c>
      <c r="M29" s="14">
        <f>L29*IF(E29="",Parameters!$B$2,E29)</f>
        <v>1231673297.2173548</v>
      </c>
      <c r="N29" s="17">
        <f t="shared" si="2"/>
        <v>30914999.760155607</v>
      </c>
      <c r="O29" s="17">
        <f t="shared" si="5"/>
        <v>2143749.6329881721</v>
      </c>
    </row>
    <row r="30" spans="1:15">
      <c r="A30" s="2">
        <v>29</v>
      </c>
      <c r="B30" s="2">
        <v>16000000</v>
      </c>
      <c r="C30" s="2">
        <v>1.921</v>
      </c>
      <c r="D30" s="2">
        <v>0.82</v>
      </c>
      <c r="E30" s="2">
        <v>1600</v>
      </c>
      <c r="F30" s="2">
        <f>IFERROR(B30*C30*IF(D30="", Parameters!$B$2, D30)/Parameters!$B$6, 0)</f>
        <v>810311.37974825979</v>
      </c>
      <c r="G30" s="13">
        <f>F30*IF(E30="", Parameters!$B$2, E30)</f>
        <v>1296498207.5972157</v>
      </c>
      <c r="H30" s="2">
        <f>G30*Parameters!$B$4</f>
        <v>33708953.397527605</v>
      </c>
      <c r="I30" s="2">
        <f>1/POWER(1+Parameters!$B$5, A30)</f>
        <v>6.3039408631284766E-2</v>
      </c>
      <c r="J30" s="6">
        <f t="shared" si="0"/>
        <v>2124992.4877596777</v>
      </c>
      <c r="K30" s="6">
        <f>SUM($G$2:G30)</f>
        <v>37598448020.319229</v>
      </c>
      <c r="L30">
        <f t="shared" si="4"/>
        <v>769795.81076084671</v>
      </c>
      <c r="M30" s="14">
        <f>L30*IF(E30="",Parameters!$B$2,E30)</f>
        <v>1231673297.2173548</v>
      </c>
      <c r="N30" s="17">
        <f t="shared" si="2"/>
        <v>30914999.760155607</v>
      </c>
      <c r="O30" s="17">
        <f t="shared" si="5"/>
        <v>1948863.3027165199</v>
      </c>
    </row>
    <row r="31" spans="1:15">
      <c r="A31" s="2">
        <v>30</v>
      </c>
      <c r="B31" s="2">
        <v>16000000</v>
      </c>
      <c r="C31" s="2">
        <v>1.921</v>
      </c>
      <c r="D31" s="2">
        <v>0.82</v>
      </c>
      <c r="E31" s="2">
        <v>1600</v>
      </c>
      <c r="F31" s="2">
        <f>IFERROR(B31*C31*IF(D31="", Parameters!$B$2, D31)/Parameters!$B$6, 0)</f>
        <v>810311.37974825979</v>
      </c>
      <c r="G31" s="13">
        <f>F31*IF(E31="", Parameters!$B$2, E31)</f>
        <v>1296498207.5972157</v>
      </c>
      <c r="H31" s="2">
        <f>G31*Parameters!$B$4</f>
        <v>33708953.397527605</v>
      </c>
      <c r="I31" s="2">
        <f>1/POWER(1+Parameters!$B$5, A31)</f>
        <v>5.7308553301167964E-2</v>
      </c>
      <c r="J31" s="6">
        <f t="shared" si="0"/>
        <v>1931811.3525087978</v>
      </c>
      <c r="K31" s="6">
        <f>SUM($G$2:G31)</f>
        <v>38894946227.916443</v>
      </c>
      <c r="L31">
        <f t="shared" si="4"/>
        <v>769795.81076084671</v>
      </c>
      <c r="M31" s="14">
        <f>L31*IF(E31="",Parameters!$B$2,E31)</f>
        <v>1231673297.2173548</v>
      </c>
      <c r="N31" s="17">
        <f t="shared" si="2"/>
        <v>30914999.760155607</v>
      </c>
      <c r="O31" s="17">
        <f t="shared" si="5"/>
        <v>1771693.9115604723</v>
      </c>
    </row>
    <row r="32" spans="1:15">
      <c r="A32" s="5">
        <v>31</v>
      </c>
      <c r="B32" s="2">
        <v>16000000</v>
      </c>
      <c r="C32" s="2">
        <v>1.921</v>
      </c>
      <c r="D32" s="2">
        <v>0.82</v>
      </c>
      <c r="E32" s="2">
        <v>1600</v>
      </c>
      <c r="F32" s="2">
        <f>IFERROR(B32*C32*IF(D32="", Parameters!$B$2, D32)/Parameters!$B$6, 0)</f>
        <v>810311.37974825979</v>
      </c>
      <c r="G32" s="13">
        <f>F32*IF(E32="", Parameters!$B$2, E32)</f>
        <v>1296498207.5972157</v>
      </c>
      <c r="H32" s="2">
        <f>G32*Parameters!$B$4</f>
        <v>33708953.397527605</v>
      </c>
      <c r="I32" s="2">
        <f>1/POWER(1+Parameters!$B$5, A32)</f>
        <v>5.2098684819243603E-2</v>
      </c>
      <c r="J32" s="6">
        <f t="shared" si="0"/>
        <v>1756192.1386443614</v>
      </c>
      <c r="K32" s="6">
        <f>SUM($G$2:G32)</f>
        <v>40191444435.513657</v>
      </c>
      <c r="L32">
        <f t="shared" si="4"/>
        <v>769795.81076084671</v>
      </c>
      <c r="M32" s="14">
        <f>L32*IF(E32="",Parameters!$B$2,E32)</f>
        <v>1231673297.2173548</v>
      </c>
      <c r="N32" s="17">
        <f t="shared" si="2"/>
        <v>30914999.760155607</v>
      </c>
      <c r="O32" s="17">
        <f t="shared" si="5"/>
        <v>1610630.8286913387</v>
      </c>
    </row>
    <row r="33" spans="1:15">
      <c r="A33" s="5"/>
      <c r="B33" s="2"/>
      <c r="C33" s="2"/>
      <c r="D33" s="2"/>
      <c r="E33" s="2"/>
      <c r="F33" s="2"/>
      <c r="G33" s="13"/>
      <c r="H33" s="2"/>
      <c r="I33" s="2"/>
      <c r="J33" s="6"/>
      <c r="K33" s="6"/>
      <c r="M33" s="14"/>
      <c r="N33" s="17"/>
      <c r="O33" s="17"/>
    </row>
    <row r="34" spans="1:15">
      <c r="M34" s="14"/>
      <c r="N34" s="17"/>
      <c r="O34" s="17"/>
    </row>
    <row r="35" spans="1:15">
      <c r="M35" s="14"/>
      <c r="N35" s="17"/>
      <c r="O35" s="17"/>
    </row>
    <row r="39" spans="1:15">
      <c r="F39" s="3" t="s">
        <v>15</v>
      </c>
      <c r="G39" s="10">
        <f>SUM(G2:G32)</f>
        <v>40191444435.513657</v>
      </c>
      <c r="H39">
        <f>SUM(H2:H32)</f>
        <v>1044977555.3233551</v>
      </c>
      <c r="J39" s="11">
        <f>SUM(J2:J32)</f>
        <v>319527612.58883214</v>
      </c>
      <c r="O39" s="11">
        <f>SUM(O2:O32)</f>
        <v>293043689.31464249</v>
      </c>
    </row>
    <row r="40" spans="1:15">
      <c r="F40" s="3" t="s">
        <v>16</v>
      </c>
      <c r="G40" s="10">
        <f>G39</f>
        <v>40191444435.513657</v>
      </c>
    </row>
    <row r="41" spans="1:15">
      <c r="F41" s="3" t="s">
        <v>17</v>
      </c>
      <c r="G41" s="10">
        <f>H39</f>
        <v>1044977555.3233551</v>
      </c>
    </row>
    <row r="42" spans="1:15">
      <c r="F42" s="3" t="s">
        <v>9</v>
      </c>
      <c r="G42" s="10">
        <f>J39</f>
        <v>319527612.58883214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activeCell="C17" sqref="C17"/>
    </sheetView>
  </sheetViews>
  <sheetFormatPr defaultRowHeight="15"/>
  <cols>
    <col min="1" max="2" width="32" customWidth="1"/>
  </cols>
  <sheetData>
    <row r="1" spans="1:2">
      <c r="A1" s="4" t="s">
        <v>18</v>
      </c>
      <c r="B1" s="4" t="s">
        <v>19</v>
      </c>
    </row>
    <row r="2" spans="1:2">
      <c r="A2" t="s">
        <v>20</v>
      </c>
      <c r="B2">
        <v>1600</v>
      </c>
    </row>
    <row r="3" spans="1:2">
      <c r="A3" t="s">
        <v>21</v>
      </c>
      <c r="B3">
        <v>0.82</v>
      </c>
    </row>
    <row r="4" spans="1:2">
      <c r="A4" t="s">
        <v>22</v>
      </c>
      <c r="B4">
        <v>2.5999999999999999E-2</v>
      </c>
    </row>
    <row r="5" spans="1:2">
      <c r="A5" t="s">
        <v>23</v>
      </c>
      <c r="B5">
        <v>0.1</v>
      </c>
    </row>
    <row r="6" spans="1:2">
      <c r="A6" t="s">
        <v>24</v>
      </c>
      <c r="B6">
        <v>31.1035</v>
      </c>
    </row>
    <row r="7" spans="1:2">
      <c r="A7" t="s">
        <v>25</v>
      </c>
      <c r="B7" t="s">
        <v>26</v>
      </c>
    </row>
    <row r="8" spans="1:2">
      <c r="A8" t="s">
        <v>27</v>
      </c>
      <c r="B8">
        <v>2.5100000000000001E-2</v>
      </c>
    </row>
    <row r="9" spans="1:2">
      <c r="A9" t="s">
        <v>28</v>
      </c>
      <c r="B9">
        <v>0.95</v>
      </c>
    </row>
  </sheetData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1"/>
  <sheetViews>
    <sheetView workbookViewId="0">
      <selection activeCell="A2" sqref="A2"/>
    </sheetView>
  </sheetViews>
  <sheetFormatPr defaultRowHeight="15"/>
  <cols>
    <col min="1" max="1" width="132.5703125" bestFit="1" customWidth="1"/>
  </cols>
  <sheetData>
    <row r="1" spans="1:1" ht="18.75">
      <c r="A1" s="18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fcce7-54a5-408a-9661-fe28f8bfca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205FDE190A42B51D4C14B6548430" ma:contentTypeVersion="11" ma:contentTypeDescription="Create a new document." ma:contentTypeScope="" ma:versionID="dd10d3e38cc4dcf1fe9005ef0ad13762">
  <xsd:schema xmlns:xsd="http://www.w3.org/2001/XMLSchema" xmlns:xs="http://www.w3.org/2001/XMLSchema" xmlns:p="http://schemas.microsoft.com/office/2006/metadata/properties" xmlns:ns2="438fcce7-54a5-408a-9661-fe28f8bfca84" targetNamespace="http://schemas.microsoft.com/office/2006/metadata/properties" ma:root="true" ma:fieldsID="da7c2e9495ce2ab602c503037384bd9a" ns2:_="">
    <xsd:import namespace="438fcce7-54a5-408a-9661-fe28f8bfc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fcce7-54a5-408a-9661-fe28f8bfc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97F9DC-BACA-4B07-BA7B-9D93625A01E1}"/>
</file>

<file path=customXml/itemProps2.xml><?xml version="1.0" encoding="utf-8"?>
<ds:datastoreItem xmlns:ds="http://schemas.openxmlformats.org/officeDocument/2006/customXml" ds:itemID="{C87C0D66-4E0E-41DC-85A9-EDBE4290BC01}"/>
</file>

<file path=customXml/itemProps3.xml><?xml version="1.0" encoding="utf-8"?>
<ds:datastoreItem xmlns:ds="http://schemas.openxmlformats.org/officeDocument/2006/customXml" ds:itemID="{54E2B23A-8AE0-4C6E-A917-8BD82590F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Altalhi, Hussam Naif S (S&amp;T-Student)</cp:lastModifiedBy>
  <cp:revision/>
  <dcterms:created xsi:type="dcterms:W3CDTF">2025-11-04T02:41:06Z</dcterms:created>
  <dcterms:modified xsi:type="dcterms:W3CDTF">2026-04-19T05:49:30Z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0x0101007C71205FDE190A42B51D4C14B6548430</vt:lpwstr>
  </property>
  <property fmtid="{D5CDD505-2E9C-101B-9397-08002B2CF9AE}" pid="3" name="MediaServiceImageTags">
    <vt:lpwstr/>
  </property>
</Properties>
</file>