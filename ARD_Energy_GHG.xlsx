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ttps://mailmissouri.sharepoint.com/sites/Research91-Ogrp-Othersustainability/Shared Documents/Other sustainability/Hussam Naif S Altalhi/Experiments &amp; Results/SDIs calculations/"/>
    </mc:Choice>
  </mc:AlternateContent>
  <xr:revisionPtr revIDLastSave="165" documentId="11_66B30B56D093B6EE28B1E0DB32FDC9338F5D8DBB" xr6:coauthVersionLast="47" xr6:coauthVersionMax="47" xr10:uidLastSave="{30D656FF-54CC-427D-8469-8F1AC21B566E}"/>
  <bookViews>
    <workbookView minimized="1" xWindow="3795" yWindow="2820" windowWidth="21600" windowHeight="11295" activeTab="2" xr2:uid="{00000000-000D-0000-FFFF-FFFF00000000}"/>
  </bookViews>
  <sheets>
    <sheet name="ARD" sheetId="1" r:id="rId1"/>
    <sheet name="Energy&amp;GHG" sheetId="2" r:id="rId2"/>
    <sheet name="Air emiss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F3" i="2"/>
  <c r="F4" i="2"/>
  <c r="F5" i="2"/>
  <c r="F6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<sst xmlns="http://schemas.openxmlformats.org/spreadsheetml/2006/main" count="136" uniqueCount="90">
  <si>
    <r>
      <t>%S in waste = 1.2%</t>
    </r>
    <r>
      <rPr>
        <sz val="11"/>
        <color theme="1"/>
        <rFont val="Aptos Narrow"/>
        <family val="2"/>
        <scheme val="minor"/>
      </rPr>
      <t xml:space="preserve"> (consistent with a sulphide-bearing system)</t>
    </r>
  </si>
  <si>
    <r>
      <t>NP (waste) = 10 kg CaCO₃/t</t>
    </r>
    <r>
      <rPr>
        <sz val="11"/>
        <color theme="1"/>
        <rFont val="Aptos Narrow"/>
        <family val="2"/>
        <scheme val="minor"/>
      </rPr>
      <t xml:space="preserve"> (low carbonate host → conservative)</t>
    </r>
  </si>
  <si>
    <r>
      <t xml:space="preserve">Then: </t>
    </r>
    <r>
      <rPr>
        <b/>
        <sz val="11"/>
        <color theme="1"/>
        <rFont val="Aptos Narrow"/>
        <family val="2"/>
        <scheme val="minor"/>
      </rPr>
      <t>AP = 31.25 × %S = 37.5 kg CaCO₃/t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NPR = 10 / 37.5 = 0.267 (&lt;1 ⇒ PAG)</t>
    </r>
  </si>
  <si>
    <r>
      <t>ARD Potential (t CaCO₃-eq)</t>
    </r>
    <r>
      <rPr>
        <sz val="11"/>
        <color theme="1"/>
        <rFont val="Aptos Narrow"/>
        <family val="2"/>
        <scheme val="minor"/>
      </rPr>
      <t xml:space="preserve"> per schedule = </t>
    </r>
    <r>
      <rPr>
        <sz val="10"/>
        <color theme="1"/>
        <rFont val="Arial Unicode MS"/>
      </rPr>
      <t>Waste_tonnes × 0.0375</t>
    </r>
  </si>
  <si>
    <t>(since 37.5 kg/t = 0.0375 t CaCO₃ per tonne of waste)</t>
  </si>
  <si>
    <t>Schedule</t>
  </si>
  <si>
    <t>Waste (t)</t>
  </si>
  <si>
    <t>ARD Potential (t CaCO₃-eq)</t>
  </si>
  <si>
    <t>Schedule_1</t>
  </si>
  <si>
    <t>Schedule_2</t>
  </si>
  <si>
    <t>Schedule_3</t>
  </si>
  <si>
    <t>Schedule_4</t>
  </si>
  <si>
    <t>Schedule_5</t>
  </si>
  <si>
    <t>Schedule_6</t>
  </si>
  <si>
    <t>Schedule_7</t>
  </si>
  <si>
    <t>Schedule_8</t>
  </si>
  <si>
    <t>Schedule_9</t>
  </si>
  <si>
    <t>Schedule_10</t>
  </si>
  <si>
    <t>Schedule_11</t>
  </si>
  <si>
    <t>Schedule_12</t>
  </si>
  <si>
    <t>Schedule_13</t>
  </si>
  <si>
    <t>Schedule_14</t>
  </si>
  <si>
    <t>Schedule_15</t>
  </si>
  <si>
    <t>Schedule_16</t>
  </si>
  <si>
    <t>Schedule_17</t>
  </si>
  <si>
    <t>Schedule_18</t>
  </si>
  <si>
    <t>Schedule_19</t>
  </si>
  <si>
    <t>Schedule_20</t>
  </si>
  <si>
    <t>Ore (tonne)</t>
  </si>
  <si>
    <t>Waste (tonne)</t>
  </si>
  <si>
    <t>E_mine_kWh_per_t</t>
  </si>
  <si>
    <t>E_proc_kWh_per_t</t>
  </si>
  <si>
    <t>EF_diesel_kg_per_kWh</t>
  </si>
  <si>
    <t>EF_grid_kg_per_kWh</t>
  </si>
  <si>
    <t>kWh_to_GJ</t>
  </si>
  <si>
    <t>kWh per tonne moved (mining)</t>
  </si>
  <si>
    <t>kWh per tonne of ore (processing)</t>
  </si>
  <si>
    <t>diesel emissions factor (≈74.1 kg CO₂e/GJ)</t>
  </si>
  <si>
    <t>grid electricity factor</t>
  </si>
  <si>
    <t>Total_moved_t</t>
  </si>
  <si>
    <t>Mining_kWh</t>
  </si>
  <si>
    <t>Processing_kWh</t>
  </si>
  <si>
    <t>Total_kWh</t>
  </si>
  <si>
    <t>Total_MWh</t>
  </si>
  <si>
    <t>Total_GJ</t>
  </si>
  <si>
    <t>GJ_per_t_ore</t>
  </si>
  <si>
    <t>GJ_per_t_moved</t>
  </si>
  <si>
    <t>GHG_mining_tCO2e</t>
  </si>
  <si>
    <t>GHG_processing_tCO2e</t>
  </si>
  <si>
    <t>GHG_total_tCO2e</t>
  </si>
  <si>
    <t>tCO2e_per_t_ore</t>
  </si>
  <si>
    <t>tCO2e_per_t_moved</t>
  </si>
  <si>
    <t>PM₁₀ (t)</t>
  </si>
  <si>
    <t>NOₓ (t)</t>
  </si>
  <si>
    <t>Pollutant</t>
  </si>
  <si>
    <t>Emission factor (g/kWh diesel)</t>
  </si>
  <si>
    <t>Typical Range</t>
  </si>
  <si>
    <t>NOₓ</t>
  </si>
  <si>
    <t>3–5</t>
  </si>
  <si>
    <t>CO</t>
  </si>
  <si>
    <t>0.5–2</t>
  </si>
  <si>
    <t>SO₂</t>
  </si>
  <si>
    <t>depends on sulfur in fuel</t>
  </si>
  <si>
    <t>VOCs</t>
  </si>
  <si>
    <t>0.2–0.5</t>
  </si>
  <si>
    <t>Source</t>
  </si>
  <si>
    <t>PM₁₀ (kg/t)</t>
  </si>
  <si>
    <t>PM₂.₅ (kg/t)</t>
  </si>
  <si>
    <t>Drilling/blasting</t>
  </si>
  <si>
    <t>Loading/unloading</t>
  </si>
  <si>
    <t>Haulage (unpaved)</t>
  </si>
  <si>
    <t>Crushing/screening</t>
  </si>
  <si>
    <t>Heap leach stacking</t>
  </si>
  <si>
    <t>Level</t>
  </si>
  <si>
    <t>Description</t>
  </si>
  <si>
    <t>Data Needed</t>
  </si>
  <si>
    <t>Tier 1</t>
  </si>
  <si>
    <t>Energy-based (from fuel &amp; electricity)</t>
  </si>
  <si>
    <t>kWh, emission factors (like GHG)</t>
  </si>
  <si>
    <t>Tier 2</t>
  </si>
  <si>
    <t>Activity-based (from tonnes moved, hauled, crushed, etc.)</t>
  </si>
  <si>
    <t>Tonnes mined, hauled distance, crusher throughput</t>
  </si>
  <si>
    <t>Tier 3</t>
  </si>
  <si>
    <t>Detailed (meteorology + dust modeling)</t>
  </si>
  <si>
    <t>Not needed here</t>
  </si>
  <si>
    <t>Because you have:</t>
  </si>
  <si>
    <t>Diesel-dominated mining fleet (haulage &amp; loading),</t>
  </si>
  <si>
    <t>Moderate electricity for processing,</t>
  </si>
  <si>
    <t>Arid climate (Utah-like, so dust potential high),</t>
  </si>
  <si>
    <t>→ PM₁₀ and NOₓ will dominate your air emission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</si>
</sst>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E74C3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3" fontId="0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70" zoomScaleNormal="70" workbookViewId="0">
      <selection activeCell="B40" sqref="B40"/>
    </sheetView>
  </sheetViews>
  <sheetFormatPr defaultRowHeight="15" x14ac:dyDescent="0.25"/>
  <cols>
    <col min="1" max="1" width="23" customWidth="1"/>
    <col min="2" max="2" width="26.85546875" customWidth="1"/>
    <col min="3" max="3" width="34.85546875" customWidth="1"/>
    <col min="6" max="6" width="89.7109375" bestFit="1" customWidth="1"/>
    <col min="18" max="18" width="68" bestFit="1" customWidth="1"/>
  </cols>
  <sheetData>
    <row r="1" spans="1:6" ht="75" x14ac:dyDescent="0.25">
      <c r="A1" s="2" t="s">
        <v>5</v>
      </c>
      <c r="B1" s="3" t="s">
        <v>6</v>
      </c>
      <c r="C1" s="3" t="s">
        <v>7</v>
      </c>
    </row>
    <row r="2" spans="1:6" x14ac:dyDescent="0.25">
      <c r="A2" s="4" t="s">
        <v>8</v>
      </c>
      <c r="B2" s="6">
        <v>207585280</v>
      </c>
      <c r="C2" s="7">
        <v>7784448</v>
      </c>
    </row>
    <row r="3" spans="1:6" x14ac:dyDescent="0.25">
      <c r="A3" s="4" t="s">
        <v>9</v>
      </c>
      <c r="B3" s="6">
        <v>239124480</v>
      </c>
      <c r="C3" s="7">
        <v>8967168</v>
      </c>
      <c r="F3" s="1" t="s">
        <v>0</v>
      </c>
    </row>
    <row r="4" spans="1:6" x14ac:dyDescent="0.25">
      <c r="A4" s="4" t="s">
        <v>10</v>
      </c>
      <c r="B4" s="6">
        <v>251328000</v>
      </c>
      <c r="C4" s="7">
        <v>9424800</v>
      </c>
    </row>
    <row r="5" spans="1:6" x14ac:dyDescent="0.25">
      <c r="A5" s="4" t="s">
        <v>11</v>
      </c>
      <c r="B5" s="6">
        <v>234923520</v>
      </c>
      <c r="C5" s="7">
        <v>8809632</v>
      </c>
      <c r="F5" s="1" t="s">
        <v>1</v>
      </c>
    </row>
    <row r="6" spans="1:6" x14ac:dyDescent="0.25">
      <c r="A6" s="4" t="s">
        <v>12</v>
      </c>
      <c r="B6" s="6">
        <v>207585280</v>
      </c>
      <c r="C6" s="7">
        <v>7784448</v>
      </c>
    </row>
    <row r="7" spans="1:6" x14ac:dyDescent="0.25">
      <c r="A7" s="4" t="s">
        <v>13</v>
      </c>
      <c r="B7" s="6">
        <v>222999040</v>
      </c>
      <c r="C7" s="7">
        <v>8362464</v>
      </c>
      <c r="F7" t="s">
        <v>2</v>
      </c>
    </row>
    <row r="8" spans="1:6" x14ac:dyDescent="0.25">
      <c r="A8" s="4" t="s">
        <v>14</v>
      </c>
      <c r="B8" s="6">
        <v>259366400</v>
      </c>
      <c r="C8" s="7">
        <v>9726240</v>
      </c>
    </row>
    <row r="9" spans="1:6" x14ac:dyDescent="0.25">
      <c r="A9" s="4" t="s">
        <v>15</v>
      </c>
      <c r="B9" s="6">
        <v>226795520</v>
      </c>
      <c r="C9" s="7">
        <v>8504832</v>
      </c>
      <c r="F9" s="1" t="s">
        <v>3</v>
      </c>
    </row>
    <row r="10" spans="1:6" x14ac:dyDescent="0.25">
      <c r="A10" s="4" t="s">
        <v>16</v>
      </c>
      <c r="B10" s="6">
        <v>259752960</v>
      </c>
      <c r="C10" s="7">
        <v>9740736</v>
      </c>
      <c r="F10" t="s">
        <v>4</v>
      </c>
    </row>
    <row r="11" spans="1:6" x14ac:dyDescent="0.25">
      <c r="A11" s="4" t="s">
        <v>17</v>
      </c>
      <c r="B11" s="6">
        <v>273262080</v>
      </c>
      <c r="C11" s="7">
        <v>10247328</v>
      </c>
    </row>
    <row r="12" spans="1:6" x14ac:dyDescent="0.25">
      <c r="A12" s="4" t="s">
        <v>18</v>
      </c>
      <c r="B12" s="6">
        <v>225313280</v>
      </c>
      <c r="C12" s="7">
        <v>8449248</v>
      </c>
    </row>
    <row r="13" spans="1:6" x14ac:dyDescent="0.25">
      <c r="A13" s="4" t="s">
        <v>19</v>
      </c>
      <c r="B13" s="6">
        <v>199329280</v>
      </c>
      <c r="C13" s="7">
        <v>7474848</v>
      </c>
    </row>
    <row r="14" spans="1:6" x14ac:dyDescent="0.25">
      <c r="A14" s="4" t="s">
        <v>20</v>
      </c>
      <c r="B14" s="6">
        <v>242869760</v>
      </c>
      <c r="C14" s="7">
        <v>9107616</v>
      </c>
    </row>
    <row r="15" spans="1:6" x14ac:dyDescent="0.25">
      <c r="A15" s="4" t="s">
        <v>21</v>
      </c>
      <c r="B15" s="6">
        <v>313587200</v>
      </c>
      <c r="C15" s="7">
        <v>11759520</v>
      </c>
    </row>
    <row r="16" spans="1:6" x14ac:dyDescent="0.25">
      <c r="A16" s="4" t="s">
        <v>22</v>
      </c>
      <c r="B16" s="6">
        <v>288058880</v>
      </c>
      <c r="C16" s="7">
        <v>10802208</v>
      </c>
    </row>
    <row r="17" spans="1:3" x14ac:dyDescent="0.25">
      <c r="A17" s="4" t="s">
        <v>23</v>
      </c>
      <c r="B17" s="6">
        <v>251328000</v>
      </c>
      <c r="C17" s="7">
        <v>9424800</v>
      </c>
    </row>
    <row r="18" spans="1:3" x14ac:dyDescent="0.25">
      <c r="A18" s="4" t="s">
        <v>24</v>
      </c>
      <c r="B18" s="6">
        <v>249971200</v>
      </c>
      <c r="C18" s="7">
        <v>9373920</v>
      </c>
    </row>
    <row r="19" spans="1:3" x14ac:dyDescent="0.25">
      <c r="A19" s="4" t="s">
        <v>25</v>
      </c>
      <c r="B19" s="6">
        <v>337075200</v>
      </c>
      <c r="C19" s="7">
        <v>12640320</v>
      </c>
    </row>
    <row r="20" spans="1:3" x14ac:dyDescent="0.25">
      <c r="A20" s="4" t="s">
        <v>26</v>
      </c>
      <c r="B20" s="6">
        <v>256655360</v>
      </c>
      <c r="C20" s="7">
        <v>9624576</v>
      </c>
    </row>
    <row r="21" spans="1:3" x14ac:dyDescent="0.25">
      <c r="A21" s="4" t="s">
        <v>27</v>
      </c>
      <c r="B21" s="6">
        <v>268154880</v>
      </c>
      <c r="C21" s="7">
        <v>10055808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99BB-5D43-4CA3-A56D-3B7DEAF62BE3}">
  <dimension ref="A1:P31"/>
  <sheetViews>
    <sheetView workbookViewId="0">
      <selection activeCell="F7" sqref="F7"/>
    </sheetView>
  </sheetViews>
  <sheetFormatPr defaultRowHeight="15" x14ac:dyDescent="0.25"/>
  <cols>
    <col min="1" max="1" width="20.7109375" bestFit="1" customWidth="1"/>
    <col min="2" max="2" width="14.42578125" customWidth="1"/>
    <col min="3" max="3" width="14.85546875" customWidth="1"/>
    <col min="4" max="4" width="13.7109375" bestFit="1" customWidth="1"/>
    <col min="5" max="5" width="13.85546875" customWidth="1"/>
    <col min="6" max="6" width="15.5703125" bestFit="1" customWidth="1"/>
    <col min="7" max="8" width="11" bestFit="1" customWidth="1"/>
    <col min="9" max="9" width="11.140625" customWidth="1"/>
    <col min="10" max="10" width="12" bestFit="1" customWidth="1"/>
    <col min="11" max="11" width="15" bestFit="1" customWidth="1"/>
    <col min="12" max="12" width="18.140625" bestFit="1" customWidth="1"/>
    <col min="13" max="13" width="23" bestFit="1" customWidth="1"/>
    <col min="14" max="14" width="17" bestFit="1" customWidth="1"/>
    <col min="15" max="15" width="16.140625" bestFit="1" customWidth="1"/>
    <col min="16" max="16" width="19.42578125" bestFit="1" customWidth="1"/>
  </cols>
  <sheetData>
    <row r="1" spans="1:16" x14ac:dyDescent="0.25">
      <c r="A1" s="2" t="s">
        <v>5</v>
      </c>
      <c r="B1" s="8" t="s">
        <v>28</v>
      </c>
      <c r="C1" s="8" t="s">
        <v>29</v>
      </c>
      <c r="D1" s="8" t="s">
        <v>39</v>
      </c>
      <c r="E1" s="8" t="s">
        <v>40</v>
      </c>
      <c r="F1" s="8" t="s">
        <v>41</v>
      </c>
      <c r="G1" s="8" t="s">
        <v>42</v>
      </c>
      <c r="H1" s="12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11" t="s">
        <v>48</v>
      </c>
      <c r="N1" s="19" t="s">
        <v>49</v>
      </c>
      <c r="O1" s="20" t="s">
        <v>50</v>
      </c>
      <c r="P1" s="11" t="s">
        <v>51</v>
      </c>
    </row>
    <row r="2" spans="1:16" x14ac:dyDescent="0.25">
      <c r="A2" s="4" t="s">
        <v>8</v>
      </c>
      <c r="B2" s="5">
        <v>201868800</v>
      </c>
      <c r="C2" s="5">
        <v>207585280</v>
      </c>
      <c r="D2" s="5">
        <f>B2+C2</f>
        <v>409454080</v>
      </c>
      <c r="E2">
        <f>D2*$B$27</f>
        <v>4913448960</v>
      </c>
      <c r="F2">
        <f>$B$28*B2</f>
        <v>2624294400</v>
      </c>
      <c r="G2">
        <f>E2+F2</f>
        <v>7537743360</v>
      </c>
      <c r="H2">
        <f>G2/1000</f>
        <v>7537743.3600000003</v>
      </c>
      <c r="I2">
        <f>$B$31*G2</f>
        <v>27135876.096000001</v>
      </c>
      <c r="J2">
        <f>I2/B2</f>
        <v>0.13442332889480693</v>
      </c>
      <c r="K2">
        <f>(E2*$B$31)/D2</f>
        <v>4.3200000000000002E-2</v>
      </c>
      <c r="L2">
        <f>(E2*$B$29)/1000</f>
        <v>1311890.8723200001</v>
      </c>
      <c r="M2">
        <f>(F2 * $B$30) / 1000</f>
        <v>1049717.76</v>
      </c>
      <c r="N2">
        <f>L2+M2</f>
        <v>2361608.6323199999</v>
      </c>
      <c r="O2">
        <f>N2/B2</f>
        <v>1.1698730226364846E-2</v>
      </c>
      <c r="P2">
        <f>L2/D2</f>
        <v>3.2040000000000003E-3</v>
      </c>
    </row>
    <row r="3" spans="1:16" x14ac:dyDescent="0.25">
      <c r="A3" s="4" t="s">
        <v>9</v>
      </c>
      <c r="B3" s="5">
        <v>216491520</v>
      </c>
      <c r="C3" s="5">
        <v>239124480</v>
      </c>
      <c r="D3" s="5">
        <f t="shared" ref="D3:D21" si="0">B3+C3</f>
        <v>455616000</v>
      </c>
      <c r="E3">
        <f t="shared" ref="E3:E21" si="1">D3*$B$27</f>
        <v>5467392000</v>
      </c>
      <c r="F3">
        <f t="shared" ref="F3:F21" si="2">$B$28*B3</f>
        <v>2814389760</v>
      </c>
      <c r="G3">
        <f t="shared" ref="G3:G21" si="3">E3+F3</f>
        <v>8281781760</v>
      </c>
      <c r="H3">
        <f t="shared" ref="H3:H21" si="4">G3/1000</f>
        <v>8281781.7599999998</v>
      </c>
      <c r="I3">
        <f t="shared" ref="I3:I21" si="5">$B$31*G3</f>
        <v>29814414.335999999</v>
      </c>
      <c r="J3">
        <f t="shared" ref="J3:J21" si="6">I3/B3</f>
        <v>0.13771631487459646</v>
      </c>
      <c r="K3">
        <f t="shared" ref="K3:K21" si="7">(E3*$B$31)/D3</f>
        <v>4.3199999999999995E-2</v>
      </c>
      <c r="L3">
        <f t="shared" ref="L3:L21" si="8">(E3*$B$29)/1000</f>
        <v>1459793.6640000001</v>
      </c>
      <c r="M3">
        <f t="shared" ref="M3:M21" si="9">(F3 * $B$30) / 1000</f>
        <v>1125755.9040000001</v>
      </c>
      <c r="N3">
        <f t="shared" ref="N3:N21" si="10">L3+M3</f>
        <v>2585549.568</v>
      </c>
      <c r="O3">
        <f t="shared" ref="O3:O21" si="11">N3/B3</f>
        <v>1.1942960019865905E-2</v>
      </c>
      <c r="P3">
        <f t="shared" ref="P3:P21" si="12">L3/D3</f>
        <v>3.2040000000000003E-3</v>
      </c>
    </row>
    <row r="4" spans="1:16" x14ac:dyDescent="0.25">
      <c r="A4" s="4" t="s">
        <v>10</v>
      </c>
      <c r="B4" s="9">
        <v>219345920</v>
      </c>
      <c r="C4" s="5">
        <v>251328000</v>
      </c>
      <c r="D4" s="5">
        <f t="shared" si="0"/>
        <v>470673920</v>
      </c>
      <c r="E4">
        <f t="shared" si="1"/>
        <v>5648087040</v>
      </c>
      <c r="F4">
        <f t="shared" si="2"/>
        <v>2851496960</v>
      </c>
      <c r="G4">
        <f t="shared" si="3"/>
        <v>8499584000</v>
      </c>
      <c r="H4">
        <f t="shared" si="4"/>
        <v>8499584</v>
      </c>
      <c r="I4">
        <f t="shared" si="5"/>
        <v>30598502.399999999</v>
      </c>
      <c r="J4">
        <f t="shared" si="6"/>
        <v>0.13949884456478606</v>
      </c>
      <c r="K4">
        <f t="shared" si="7"/>
        <v>4.3200000000000002E-2</v>
      </c>
      <c r="L4">
        <f t="shared" si="8"/>
        <v>1508039.2396800001</v>
      </c>
      <c r="M4">
        <f t="shared" si="9"/>
        <v>1140598.784</v>
      </c>
      <c r="N4">
        <f t="shared" si="10"/>
        <v>2648638.0236800001</v>
      </c>
      <c r="O4">
        <f t="shared" si="11"/>
        <v>1.2075164305221634E-2</v>
      </c>
      <c r="P4">
        <f t="shared" si="12"/>
        <v>3.2040000000000003E-3</v>
      </c>
    </row>
    <row r="5" spans="1:16" x14ac:dyDescent="0.25">
      <c r="A5" s="4" t="s">
        <v>11</v>
      </c>
      <c r="B5" s="9">
        <v>214991360</v>
      </c>
      <c r="C5" s="5">
        <v>234923520</v>
      </c>
      <c r="D5" s="5">
        <f t="shared" si="0"/>
        <v>449914880</v>
      </c>
      <c r="E5">
        <f t="shared" si="1"/>
        <v>5398978560</v>
      </c>
      <c r="F5">
        <f t="shared" si="2"/>
        <v>2794887680</v>
      </c>
      <c r="G5">
        <f t="shared" si="3"/>
        <v>8193866240</v>
      </c>
      <c r="H5">
        <f t="shared" si="4"/>
        <v>8193866.2400000002</v>
      </c>
      <c r="I5">
        <f t="shared" si="5"/>
        <v>29497918.463999998</v>
      </c>
      <c r="J5">
        <f t="shared" si="6"/>
        <v>0.13720513449470711</v>
      </c>
      <c r="K5">
        <f t="shared" si="7"/>
        <v>4.3200000000000002E-2</v>
      </c>
      <c r="L5">
        <f t="shared" si="8"/>
        <v>1441527.2755199999</v>
      </c>
      <c r="M5">
        <f t="shared" si="9"/>
        <v>1117955.0719999999</v>
      </c>
      <c r="N5">
        <f t="shared" si="10"/>
        <v>2559482.3475199998</v>
      </c>
      <c r="O5">
        <f t="shared" si="11"/>
        <v>1.1905047475024112E-2</v>
      </c>
      <c r="P5">
        <f t="shared" si="12"/>
        <v>3.2039999999999998E-3</v>
      </c>
    </row>
    <row r="6" spans="1:16" x14ac:dyDescent="0.25">
      <c r="A6" s="4" t="s">
        <v>12</v>
      </c>
      <c r="B6" s="5">
        <v>201868800</v>
      </c>
      <c r="C6" s="5">
        <v>207585280</v>
      </c>
      <c r="D6" s="5">
        <f t="shared" si="0"/>
        <v>409454080</v>
      </c>
      <c r="E6">
        <f t="shared" si="1"/>
        <v>4913448960</v>
      </c>
      <c r="F6">
        <f t="shared" si="2"/>
        <v>2624294400</v>
      </c>
      <c r="G6">
        <f t="shared" si="3"/>
        <v>7537743360</v>
      </c>
      <c r="H6">
        <f t="shared" si="4"/>
        <v>7537743.3600000003</v>
      </c>
      <c r="I6">
        <f t="shared" si="5"/>
        <v>27135876.096000001</v>
      </c>
      <c r="J6">
        <f t="shared" si="6"/>
        <v>0.13442332889480693</v>
      </c>
      <c r="K6">
        <f t="shared" si="7"/>
        <v>4.3200000000000002E-2</v>
      </c>
      <c r="L6">
        <f t="shared" si="8"/>
        <v>1311890.8723200001</v>
      </c>
      <c r="M6">
        <f t="shared" si="9"/>
        <v>1049717.76</v>
      </c>
      <c r="N6">
        <f t="shared" si="10"/>
        <v>2361608.6323199999</v>
      </c>
      <c r="O6">
        <f t="shared" si="11"/>
        <v>1.1698730226364846E-2</v>
      </c>
      <c r="P6">
        <f t="shared" si="12"/>
        <v>3.2040000000000003E-3</v>
      </c>
    </row>
    <row r="7" spans="1:16" x14ac:dyDescent="0.25">
      <c r="A7" s="4" t="s">
        <v>13</v>
      </c>
      <c r="B7" s="9">
        <v>207610880</v>
      </c>
      <c r="C7" s="5">
        <v>222999040</v>
      </c>
      <c r="D7" s="5">
        <f t="shared" si="0"/>
        <v>430609920</v>
      </c>
      <c r="E7">
        <f t="shared" si="1"/>
        <v>5167319040</v>
      </c>
      <c r="F7">
        <f>$B$28*B7</f>
        <v>2698941440</v>
      </c>
      <c r="G7">
        <f t="shared" si="3"/>
        <v>7866260480</v>
      </c>
      <c r="H7">
        <f t="shared" si="4"/>
        <v>7866260.4800000004</v>
      </c>
      <c r="I7">
        <f t="shared" si="5"/>
        <v>28318537.728</v>
      </c>
      <c r="J7">
        <f t="shared" si="6"/>
        <v>0.13640199265086686</v>
      </c>
      <c r="K7">
        <f t="shared" si="7"/>
        <v>4.3200000000000002E-2</v>
      </c>
      <c r="L7">
        <f t="shared" si="8"/>
        <v>1379674.18368</v>
      </c>
      <c r="M7">
        <f t="shared" si="9"/>
        <v>1079576.5759999999</v>
      </c>
      <c r="N7">
        <f t="shared" si="10"/>
        <v>2459250.7596800001</v>
      </c>
      <c r="O7">
        <f t="shared" si="11"/>
        <v>1.1845481121605959E-2</v>
      </c>
      <c r="P7">
        <f t="shared" si="12"/>
        <v>3.2040000000000003E-3</v>
      </c>
    </row>
    <row r="8" spans="1:16" x14ac:dyDescent="0.25">
      <c r="A8" s="4" t="s">
        <v>14</v>
      </c>
      <c r="B8" s="9">
        <v>221834240</v>
      </c>
      <c r="C8" s="5">
        <v>259366400</v>
      </c>
      <c r="D8" s="5">
        <f t="shared" si="0"/>
        <v>481200640</v>
      </c>
      <c r="E8">
        <f t="shared" si="1"/>
        <v>5774407680</v>
      </c>
      <c r="F8">
        <f t="shared" si="2"/>
        <v>2883845120</v>
      </c>
      <c r="G8">
        <f t="shared" si="3"/>
        <v>8658252800</v>
      </c>
      <c r="H8">
        <f t="shared" si="4"/>
        <v>8658252.8000000007</v>
      </c>
      <c r="I8">
        <f t="shared" si="5"/>
        <v>31169710.079999998</v>
      </c>
      <c r="J8">
        <f t="shared" si="6"/>
        <v>0.14050901285572506</v>
      </c>
      <c r="K8">
        <f t="shared" si="7"/>
        <v>4.3199999999999995E-2</v>
      </c>
      <c r="L8">
        <f t="shared" si="8"/>
        <v>1541766.8505600002</v>
      </c>
      <c r="M8">
        <f t="shared" si="9"/>
        <v>1153538.048</v>
      </c>
      <c r="N8">
        <f t="shared" si="10"/>
        <v>2695304.8985600001</v>
      </c>
      <c r="O8">
        <f t="shared" si="11"/>
        <v>1.2150085120132943E-2</v>
      </c>
      <c r="P8">
        <f t="shared" si="12"/>
        <v>3.2040000000000003E-3</v>
      </c>
    </row>
    <row r="9" spans="1:16" x14ac:dyDescent="0.25">
      <c r="A9" s="4" t="s">
        <v>15</v>
      </c>
      <c r="B9" s="9">
        <v>210396160</v>
      </c>
      <c r="C9" s="5">
        <v>226795520</v>
      </c>
      <c r="D9" s="5">
        <f t="shared" si="0"/>
        <v>437191680</v>
      </c>
      <c r="E9">
        <f t="shared" si="1"/>
        <v>5246300160</v>
      </c>
      <c r="F9">
        <f t="shared" si="2"/>
        <v>2735150080</v>
      </c>
      <c r="G9">
        <f t="shared" si="3"/>
        <v>7981450240</v>
      </c>
      <c r="H9">
        <f t="shared" si="4"/>
        <v>7981450.2400000002</v>
      </c>
      <c r="I9">
        <f t="shared" si="5"/>
        <v>28733220.864</v>
      </c>
      <c r="J9">
        <f t="shared" si="6"/>
        <v>0.13656723042854013</v>
      </c>
      <c r="K9">
        <f t="shared" si="7"/>
        <v>4.3200000000000002E-2</v>
      </c>
      <c r="L9">
        <f t="shared" si="8"/>
        <v>1400762.1427200001</v>
      </c>
      <c r="M9">
        <f t="shared" si="9"/>
        <v>1094060.0319999999</v>
      </c>
      <c r="N9">
        <f t="shared" si="10"/>
        <v>2494822.17472</v>
      </c>
      <c r="O9">
        <f t="shared" si="11"/>
        <v>1.1857736256783394E-2</v>
      </c>
      <c r="P9">
        <f t="shared" si="12"/>
        <v>3.2040000000000003E-3</v>
      </c>
    </row>
    <row r="10" spans="1:16" x14ac:dyDescent="0.25">
      <c r="A10" s="4" t="s">
        <v>16</v>
      </c>
      <c r="B10" s="9">
        <v>222028800</v>
      </c>
      <c r="C10" s="5">
        <v>259752960</v>
      </c>
      <c r="D10" s="5">
        <f t="shared" si="0"/>
        <v>481781760</v>
      </c>
      <c r="E10">
        <f t="shared" si="1"/>
        <v>5781381120</v>
      </c>
      <c r="F10">
        <f t="shared" si="2"/>
        <v>2886374400</v>
      </c>
      <c r="G10">
        <f t="shared" si="3"/>
        <v>8667755520</v>
      </c>
      <c r="H10">
        <f t="shared" si="4"/>
        <v>8667755.5199999996</v>
      </c>
      <c r="I10">
        <f t="shared" si="5"/>
        <v>31203919.871999998</v>
      </c>
      <c r="J10">
        <f t="shared" si="6"/>
        <v>0.14053996540989275</v>
      </c>
      <c r="K10">
        <f t="shared" si="7"/>
        <v>4.3199999999999995E-2</v>
      </c>
      <c r="L10">
        <f t="shared" si="8"/>
        <v>1543628.7590400001</v>
      </c>
      <c r="M10">
        <f t="shared" si="9"/>
        <v>1154549.76</v>
      </c>
      <c r="N10">
        <f t="shared" si="10"/>
        <v>2698178.5190400002</v>
      </c>
      <c r="O10">
        <f t="shared" si="11"/>
        <v>1.2152380767900381E-2</v>
      </c>
      <c r="P10">
        <f t="shared" si="12"/>
        <v>3.2040000000000003E-3</v>
      </c>
    </row>
    <row r="11" spans="1:16" x14ac:dyDescent="0.25">
      <c r="A11" s="4" t="s">
        <v>17</v>
      </c>
      <c r="B11" s="9">
        <v>224619520</v>
      </c>
      <c r="C11" s="5">
        <v>273262080</v>
      </c>
      <c r="D11" s="5">
        <f t="shared" si="0"/>
        <v>497881600</v>
      </c>
      <c r="E11">
        <f t="shared" si="1"/>
        <v>5974579200</v>
      </c>
      <c r="F11">
        <f t="shared" si="2"/>
        <v>2920053760</v>
      </c>
      <c r="G11">
        <f t="shared" si="3"/>
        <v>8894632960</v>
      </c>
      <c r="H11">
        <f t="shared" si="4"/>
        <v>8894632.9600000009</v>
      </c>
      <c r="I11">
        <f t="shared" si="5"/>
        <v>32020678.655999999</v>
      </c>
      <c r="J11">
        <f t="shared" si="6"/>
        <v>0.14255519135647693</v>
      </c>
      <c r="K11">
        <f t="shared" si="7"/>
        <v>4.3200000000000002E-2</v>
      </c>
      <c r="L11">
        <f t="shared" si="8"/>
        <v>1595212.6464000002</v>
      </c>
      <c r="M11">
        <f t="shared" si="9"/>
        <v>1168021.504</v>
      </c>
      <c r="N11">
        <f t="shared" si="10"/>
        <v>2763234.1504000002</v>
      </c>
      <c r="O11">
        <f t="shared" si="11"/>
        <v>1.2301843358938707E-2</v>
      </c>
      <c r="P11">
        <f t="shared" si="12"/>
        <v>3.2040000000000003E-3</v>
      </c>
    </row>
    <row r="12" spans="1:16" x14ac:dyDescent="0.25">
      <c r="A12" s="4" t="s">
        <v>18</v>
      </c>
      <c r="B12" s="9">
        <v>209082880</v>
      </c>
      <c r="C12" s="5">
        <v>225313280</v>
      </c>
      <c r="D12" s="5">
        <f t="shared" si="0"/>
        <v>434396160</v>
      </c>
      <c r="E12">
        <f t="shared" si="1"/>
        <v>5212753920</v>
      </c>
      <c r="F12">
        <f t="shared" si="2"/>
        <v>2718077440</v>
      </c>
      <c r="G12">
        <f t="shared" si="3"/>
        <v>7930831360</v>
      </c>
      <c r="H12">
        <f t="shared" si="4"/>
        <v>7930831.3600000003</v>
      </c>
      <c r="I12">
        <f t="shared" si="5"/>
        <v>28550992.895999998</v>
      </c>
      <c r="J12">
        <f t="shared" si="6"/>
        <v>0.13655347054718203</v>
      </c>
      <c r="K12">
        <f t="shared" si="7"/>
        <v>4.3200000000000002E-2</v>
      </c>
      <c r="L12">
        <f t="shared" si="8"/>
        <v>1391805.2966400001</v>
      </c>
      <c r="M12">
        <f t="shared" si="9"/>
        <v>1087230.976</v>
      </c>
      <c r="N12">
        <f t="shared" si="10"/>
        <v>2479036.2726400001</v>
      </c>
      <c r="O12">
        <f t="shared" si="11"/>
        <v>1.1856715732249336E-2</v>
      </c>
      <c r="P12">
        <f t="shared" si="12"/>
        <v>3.2040000000000003E-3</v>
      </c>
    </row>
    <row r="13" spans="1:16" x14ac:dyDescent="0.25">
      <c r="A13" s="4" t="s">
        <v>19</v>
      </c>
      <c r="B13" s="9">
        <v>196840960</v>
      </c>
      <c r="C13" s="5">
        <v>199329280</v>
      </c>
      <c r="D13" s="5">
        <f t="shared" si="0"/>
        <v>396170240</v>
      </c>
      <c r="E13">
        <f t="shared" si="1"/>
        <v>4754042880</v>
      </c>
      <c r="F13">
        <f t="shared" si="2"/>
        <v>2558932480</v>
      </c>
      <c r="G13">
        <f t="shared" si="3"/>
        <v>7312975360</v>
      </c>
      <c r="H13">
        <f t="shared" si="4"/>
        <v>7312975.3600000003</v>
      </c>
      <c r="I13">
        <f t="shared" si="5"/>
        <v>26326711.296</v>
      </c>
      <c r="J13">
        <f t="shared" si="6"/>
        <v>0.1337461029249197</v>
      </c>
      <c r="K13">
        <f t="shared" si="7"/>
        <v>4.3200000000000002E-2</v>
      </c>
      <c r="L13">
        <f t="shared" si="8"/>
        <v>1269329.44896</v>
      </c>
      <c r="M13">
        <f t="shared" si="9"/>
        <v>1023572.992</v>
      </c>
      <c r="N13">
        <f t="shared" si="10"/>
        <v>2292902.4409599998</v>
      </c>
      <c r="O13">
        <f t="shared" si="11"/>
        <v>1.164850263359821E-2</v>
      </c>
      <c r="P13">
        <f t="shared" si="12"/>
        <v>3.2039999999999998E-3</v>
      </c>
    </row>
    <row r="14" spans="1:16" x14ac:dyDescent="0.25">
      <c r="A14" s="4" t="s">
        <v>20</v>
      </c>
      <c r="B14" s="9">
        <v>217456640</v>
      </c>
      <c r="C14" s="5">
        <v>242869760</v>
      </c>
      <c r="D14" s="5">
        <f t="shared" si="0"/>
        <v>460326400</v>
      </c>
      <c r="E14">
        <f t="shared" si="1"/>
        <v>5523916800</v>
      </c>
      <c r="F14">
        <f t="shared" si="2"/>
        <v>2826936320</v>
      </c>
      <c r="G14">
        <f t="shared" si="3"/>
        <v>8350853120</v>
      </c>
      <c r="H14">
        <f t="shared" si="4"/>
        <v>8350853.1200000001</v>
      </c>
      <c r="I14">
        <f t="shared" si="5"/>
        <v>30063071.232000001</v>
      </c>
      <c r="J14">
        <f t="shared" si="6"/>
        <v>0.13824857788660766</v>
      </c>
      <c r="K14">
        <f t="shared" si="7"/>
        <v>4.3200000000000002E-2</v>
      </c>
      <c r="L14">
        <f t="shared" si="8"/>
        <v>1474885.7856000001</v>
      </c>
      <c r="M14">
        <f t="shared" si="9"/>
        <v>1130774.5279999999</v>
      </c>
      <c r="N14">
        <f t="shared" si="10"/>
        <v>2605660.3136</v>
      </c>
      <c r="O14">
        <f t="shared" si="11"/>
        <v>1.1982436193256734E-2</v>
      </c>
      <c r="P14">
        <f t="shared" si="12"/>
        <v>3.2040000000000003E-3</v>
      </c>
    </row>
    <row r="15" spans="1:16" x14ac:dyDescent="0.25">
      <c r="A15" s="4" t="s">
        <v>21</v>
      </c>
      <c r="B15" s="9">
        <v>233448960</v>
      </c>
      <c r="C15" s="5">
        <v>313587200</v>
      </c>
      <c r="D15" s="5">
        <f t="shared" si="0"/>
        <v>547036160</v>
      </c>
      <c r="E15">
        <f t="shared" si="1"/>
        <v>6564433920</v>
      </c>
      <c r="F15">
        <f t="shared" si="2"/>
        <v>3034836480</v>
      </c>
      <c r="G15">
        <f t="shared" si="3"/>
        <v>9599270400</v>
      </c>
      <c r="H15">
        <f t="shared" si="4"/>
        <v>9599270.4000000004</v>
      </c>
      <c r="I15">
        <f t="shared" si="5"/>
        <v>34557373.439999998</v>
      </c>
      <c r="J15">
        <f t="shared" si="6"/>
        <v>0.14802967398098496</v>
      </c>
      <c r="K15">
        <f t="shared" si="7"/>
        <v>4.3200000000000002E-2</v>
      </c>
      <c r="L15">
        <f t="shared" si="8"/>
        <v>1752703.8566400001</v>
      </c>
      <c r="M15">
        <f t="shared" si="9"/>
        <v>1213934.5919999999</v>
      </c>
      <c r="N15">
        <f t="shared" si="10"/>
        <v>2966638.4486400001</v>
      </c>
      <c r="O15">
        <f t="shared" si="11"/>
        <v>1.2707867486923052E-2</v>
      </c>
      <c r="P15">
        <f t="shared" si="12"/>
        <v>3.2040000000000003E-3</v>
      </c>
    </row>
    <row r="16" spans="1:16" x14ac:dyDescent="0.25">
      <c r="A16" s="4" t="s">
        <v>22</v>
      </c>
      <c r="B16" s="9">
        <v>228718080</v>
      </c>
      <c r="C16" s="5">
        <v>288058880</v>
      </c>
      <c r="D16" s="5">
        <f t="shared" si="0"/>
        <v>516776960</v>
      </c>
      <c r="E16">
        <f t="shared" si="1"/>
        <v>6201323520</v>
      </c>
      <c r="F16">
        <f t="shared" si="2"/>
        <v>2973335040</v>
      </c>
      <c r="G16">
        <f t="shared" si="3"/>
        <v>9174658560</v>
      </c>
      <c r="H16">
        <f t="shared" si="4"/>
        <v>9174658.5600000005</v>
      </c>
      <c r="I16">
        <f t="shared" si="5"/>
        <v>33028770.816</v>
      </c>
      <c r="J16">
        <f t="shared" si="6"/>
        <v>0.14440822000604411</v>
      </c>
      <c r="K16">
        <f t="shared" si="7"/>
        <v>4.3199999999999995E-2</v>
      </c>
      <c r="L16">
        <f t="shared" si="8"/>
        <v>1655753.3798400001</v>
      </c>
      <c r="M16">
        <f t="shared" si="9"/>
        <v>1189334.0160000001</v>
      </c>
      <c r="N16">
        <f t="shared" si="10"/>
        <v>2845087.3958400004</v>
      </c>
      <c r="O16">
        <f t="shared" si="11"/>
        <v>1.2439276317114941E-2</v>
      </c>
      <c r="P16">
        <f t="shared" si="12"/>
        <v>3.2040000000000003E-3</v>
      </c>
    </row>
    <row r="17" spans="1:16" x14ac:dyDescent="0.25">
      <c r="A17" s="4" t="s">
        <v>23</v>
      </c>
      <c r="B17" s="9">
        <v>219345920</v>
      </c>
      <c r="C17" s="5">
        <v>251328000</v>
      </c>
      <c r="D17" s="5">
        <f t="shared" si="0"/>
        <v>470673920</v>
      </c>
      <c r="E17">
        <f t="shared" si="1"/>
        <v>5648087040</v>
      </c>
      <c r="F17">
        <f t="shared" si="2"/>
        <v>2851496960</v>
      </c>
      <c r="G17">
        <f t="shared" si="3"/>
        <v>8499584000</v>
      </c>
      <c r="H17">
        <f t="shared" si="4"/>
        <v>8499584</v>
      </c>
      <c r="I17">
        <f t="shared" si="5"/>
        <v>30598502.399999999</v>
      </c>
      <c r="J17">
        <f t="shared" si="6"/>
        <v>0.13949884456478606</v>
      </c>
      <c r="K17">
        <f t="shared" si="7"/>
        <v>4.3200000000000002E-2</v>
      </c>
      <c r="L17">
        <f t="shared" si="8"/>
        <v>1508039.2396800001</v>
      </c>
      <c r="M17">
        <f t="shared" si="9"/>
        <v>1140598.784</v>
      </c>
      <c r="N17">
        <f t="shared" si="10"/>
        <v>2648638.0236800001</v>
      </c>
      <c r="O17">
        <f t="shared" si="11"/>
        <v>1.2075164305221634E-2</v>
      </c>
      <c r="P17">
        <f t="shared" si="12"/>
        <v>3.2040000000000003E-3</v>
      </c>
    </row>
    <row r="18" spans="1:16" x14ac:dyDescent="0.25">
      <c r="A18" s="4" t="s">
        <v>24</v>
      </c>
      <c r="B18" s="9">
        <v>218833920</v>
      </c>
      <c r="C18" s="5">
        <v>249971200</v>
      </c>
      <c r="D18" s="5">
        <f t="shared" si="0"/>
        <v>468805120</v>
      </c>
      <c r="E18">
        <f t="shared" si="1"/>
        <v>5625661440</v>
      </c>
      <c r="F18">
        <f t="shared" si="2"/>
        <v>2844840960</v>
      </c>
      <c r="G18">
        <f t="shared" si="3"/>
        <v>8470502400</v>
      </c>
      <c r="H18">
        <f t="shared" si="4"/>
        <v>8470502.4000000004</v>
      </c>
      <c r="I18">
        <f t="shared" si="5"/>
        <v>30493808.640000001</v>
      </c>
      <c r="J18">
        <f t="shared" si="6"/>
        <v>0.13934680985470627</v>
      </c>
      <c r="K18">
        <f t="shared" si="7"/>
        <v>4.3200000000000002E-2</v>
      </c>
      <c r="L18">
        <f t="shared" si="8"/>
        <v>1502051.60448</v>
      </c>
      <c r="M18">
        <f t="shared" si="9"/>
        <v>1137936.3840000001</v>
      </c>
      <c r="N18">
        <f t="shared" si="10"/>
        <v>2639987.9884799998</v>
      </c>
      <c r="O18">
        <f t="shared" si="11"/>
        <v>1.2063888397557379E-2</v>
      </c>
      <c r="P18">
        <f t="shared" si="12"/>
        <v>3.2039999999999998E-3</v>
      </c>
    </row>
    <row r="19" spans="1:16" x14ac:dyDescent="0.25">
      <c r="A19" s="4" t="s">
        <v>25</v>
      </c>
      <c r="B19" s="9">
        <v>235650560</v>
      </c>
      <c r="C19" s="5">
        <v>337075200</v>
      </c>
      <c r="D19" s="5">
        <f t="shared" si="0"/>
        <v>572725760</v>
      </c>
      <c r="E19">
        <f t="shared" si="1"/>
        <v>6872709120</v>
      </c>
      <c r="F19">
        <f t="shared" si="2"/>
        <v>3063457280</v>
      </c>
      <c r="G19">
        <f t="shared" si="3"/>
        <v>9936166400</v>
      </c>
      <c r="H19">
        <f t="shared" si="4"/>
        <v>9936166.4000000004</v>
      </c>
      <c r="I19">
        <f t="shared" si="5"/>
        <v>35770199.039999999</v>
      </c>
      <c r="J19">
        <f t="shared" si="6"/>
        <v>0.15179339713854276</v>
      </c>
      <c r="K19">
        <f t="shared" si="7"/>
        <v>4.3199999999999995E-2</v>
      </c>
      <c r="L19">
        <f t="shared" si="8"/>
        <v>1835013.3350400003</v>
      </c>
      <c r="M19">
        <f t="shared" si="9"/>
        <v>1225382.912</v>
      </c>
      <c r="N19">
        <f t="shared" si="10"/>
        <v>3060396.2470400003</v>
      </c>
      <c r="O19">
        <f t="shared" si="11"/>
        <v>1.2987010287775257E-2</v>
      </c>
      <c r="P19">
        <f t="shared" si="12"/>
        <v>3.2040000000000003E-3</v>
      </c>
    </row>
    <row r="20" spans="1:16" x14ac:dyDescent="0.25">
      <c r="A20" s="4" t="s">
        <v>26</v>
      </c>
      <c r="B20" s="9">
        <v>221009920</v>
      </c>
      <c r="C20" s="5">
        <v>256655360</v>
      </c>
      <c r="D20" s="5">
        <f t="shared" si="0"/>
        <v>477665280</v>
      </c>
      <c r="E20">
        <f t="shared" si="1"/>
        <v>5731983360</v>
      </c>
      <c r="F20">
        <f t="shared" si="2"/>
        <v>2873128960</v>
      </c>
      <c r="G20">
        <f t="shared" si="3"/>
        <v>8605112320</v>
      </c>
      <c r="H20">
        <f t="shared" si="4"/>
        <v>8605112.3200000003</v>
      </c>
      <c r="I20">
        <f t="shared" si="5"/>
        <v>30978404.351999998</v>
      </c>
      <c r="J20">
        <f t="shared" si="6"/>
        <v>0.14016748366770143</v>
      </c>
      <c r="K20">
        <f t="shared" si="7"/>
        <v>4.3200000000000002E-2</v>
      </c>
      <c r="L20">
        <f t="shared" si="8"/>
        <v>1530439.55712</v>
      </c>
      <c r="M20">
        <f t="shared" si="9"/>
        <v>1149251.584</v>
      </c>
      <c r="N20">
        <f t="shared" si="10"/>
        <v>2679691.1411199998</v>
      </c>
      <c r="O20">
        <f t="shared" si="11"/>
        <v>1.2124755038687856E-2</v>
      </c>
      <c r="P20">
        <f t="shared" si="12"/>
        <v>3.2039999999999998E-3</v>
      </c>
    </row>
    <row r="21" spans="1:16" x14ac:dyDescent="0.25">
      <c r="A21" s="4" t="s">
        <v>27</v>
      </c>
      <c r="B21" s="9">
        <v>223674880</v>
      </c>
      <c r="C21" s="5">
        <v>268154880</v>
      </c>
      <c r="D21" s="5">
        <f t="shared" si="0"/>
        <v>491829760</v>
      </c>
      <c r="E21">
        <f t="shared" si="1"/>
        <v>5901957120</v>
      </c>
      <c r="F21">
        <f t="shared" si="2"/>
        <v>2907773440</v>
      </c>
      <c r="G21">
        <f t="shared" si="3"/>
        <v>8809730560</v>
      </c>
      <c r="H21">
        <f t="shared" si="4"/>
        <v>8809730.5600000005</v>
      </c>
      <c r="I21">
        <f t="shared" si="5"/>
        <v>31715030.015999999</v>
      </c>
      <c r="J21">
        <f t="shared" si="6"/>
        <v>0.1417907545809346</v>
      </c>
      <c r="K21">
        <f t="shared" si="7"/>
        <v>4.3199999999999995E-2</v>
      </c>
      <c r="L21">
        <f t="shared" si="8"/>
        <v>1575822.5510400003</v>
      </c>
      <c r="M21">
        <f t="shared" si="9"/>
        <v>1163109.3759999999</v>
      </c>
      <c r="N21">
        <f t="shared" si="10"/>
        <v>2738931.9270400004</v>
      </c>
      <c r="O21">
        <f t="shared" si="11"/>
        <v>1.2245147631419319E-2</v>
      </c>
      <c r="P21">
        <f t="shared" si="12"/>
        <v>3.2040000000000007E-3</v>
      </c>
    </row>
    <row r="27" spans="1:16" ht="45" x14ac:dyDescent="0.25">
      <c r="A27" t="s">
        <v>30</v>
      </c>
      <c r="B27">
        <v>12</v>
      </c>
      <c r="C27" s="10" t="s">
        <v>35</v>
      </c>
    </row>
    <row r="28" spans="1:16" ht="45" x14ac:dyDescent="0.25">
      <c r="A28" t="s">
        <v>31</v>
      </c>
      <c r="B28">
        <v>13</v>
      </c>
      <c r="C28" s="10" t="s">
        <v>36</v>
      </c>
    </row>
    <row r="29" spans="1:16" ht="60" x14ac:dyDescent="0.25">
      <c r="A29" t="s">
        <v>32</v>
      </c>
      <c r="B29">
        <v>0.26700000000000002</v>
      </c>
      <c r="C29" s="10" t="s">
        <v>37</v>
      </c>
    </row>
    <row r="30" spans="1:16" ht="30" x14ac:dyDescent="0.25">
      <c r="A30" t="s">
        <v>33</v>
      </c>
      <c r="B30">
        <v>0.4</v>
      </c>
      <c r="C30" s="10" t="s">
        <v>38</v>
      </c>
    </row>
    <row r="31" spans="1:16" x14ac:dyDescent="0.25">
      <c r="A31" t="s">
        <v>34</v>
      </c>
      <c r="B31">
        <v>3.5999999999999999E-3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A727-CD49-43CB-BD9C-403FC42160AA}">
  <dimension ref="A1:G42"/>
  <sheetViews>
    <sheetView tabSelected="1" topLeftCell="A23" workbookViewId="0">
      <selection activeCell="J33" sqref="J33"/>
    </sheetView>
  </sheetViews>
  <sheetFormatPr defaultRowHeight="15" x14ac:dyDescent="0.25"/>
  <cols>
    <col min="1" max="1" width="17" customWidth="1"/>
    <col min="2" max="2" width="11.42578125" bestFit="1" customWidth="1"/>
    <col min="3" max="3" width="14" bestFit="1" customWidth="1"/>
    <col min="4" max="4" width="14.140625" bestFit="1" customWidth="1"/>
    <col min="5" max="5" width="14.28515625" customWidth="1"/>
  </cols>
  <sheetData>
    <row r="1" spans="1:7" x14ac:dyDescent="0.25">
      <c r="A1" s="2" t="s">
        <v>5</v>
      </c>
      <c r="B1" s="8" t="s">
        <v>28</v>
      </c>
      <c r="C1" s="8" t="s">
        <v>29</v>
      </c>
      <c r="D1" s="8" t="s">
        <v>39</v>
      </c>
      <c r="E1" s="8" t="s">
        <v>40</v>
      </c>
      <c r="F1" s="18" t="s">
        <v>52</v>
      </c>
      <c r="G1" s="18" t="s">
        <v>53</v>
      </c>
    </row>
    <row r="2" spans="1:7" x14ac:dyDescent="0.25">
      <c r="A2" s="4" t="s">
        <v>8</v>
      </c>
      <c r="B2" s="5">
        <v>201868800</v>
      </c>
      <c r="C2" s="5">
        <v>207585280</v>
      </c>
      <c r="D2" s="5">
        <f>B2+C2</f>
        <v>409454080</v>
      </c>
      <c r="E2">
        <v>4913448960</v>
      </c>
      <c r="F2">
        <f>(D2*0.15/1000)+(B2*0.02/1000)</f>
        <v>65455.487999999998</v>
      </c>
      <c r="G2">
        <f>E2*4.4/1000000</f>
        <v>21619.175424000001</v>
      </c>
    </row>
    <row r="3" spans="1:7" ht="30" x14ac:dyDescent="0.25">
      <c r="A3" s="4" t="s">
        <v>9</v>
      </c>
      <c r="B3" s="5">
        <v>216491520</v>
      </c>
      <c r="C3" s="5">
        <v>239124480</v>
      </c>
      <c r="D3" s="5">
        <f t="shared" ref="D3:D21" si="0">B3+C3</f>
        <v>455616000</v>
      </c>
      <c r="E3">
        <v>5467392000</v>
      </c>
      <c r="F3">
        <f t="shared" ref="F3:F21" si="1">(D3*0.15/1000)+(B3*0.02/1000)</f>
        <v>72672.2304</v>
      </c>
      <c r="G3">
        <f t="shared" ref="G3:G21" si="2">E3*4.4/1000000</f>
        <v>24056.524800000003</v>
      </c>
    </row>
    <row r="4" spans="1:7" x14ac:dyDescent="0.25">
      <c r="A4" s="4" t="s">
        <v>10</v>
      </c>
      <c r="B4" s="9">
        <v>219345920</v>
      </c>
      <c r="C4" s="5">
        <v>251328000</v>
      </c>
      <c r="D4" s="5">
        <f t="shared" si="0"/>
        <v>470673920</v>
      </c>
      <c r="E4">
        <v>5648087040</v>
      </c>
      <c r="F4">
        <f t="shared" si="1"/>
        <v>74988.006399999998</v>
      </c>
      <c r="G4">
        <f t="shared" si="2"/>
        <v>24851.582976000005</v>
      </c>
    </row>
    <row r="5" spans="1:7" x14ac:dyDescent="0.25">
      <c r="A5" s="4" t="s">
        <v>11</v>
      </c>
      <c r="B5" s="9">
        <v>214991360</v>
      </c>
      <c r="C5" s="5">
        <v>234923520</v>
      </c>
      <c r="D5" s="5">
        <f t="shared" si="0"/>
        <v>449914880</v>
      </c>
      <c r="E5">
        <v>5398978560</v>
      </c>
      <c r="F5">
        <f t="shared" si="1"/>
        <v>71787.059200000003</v>
      </c>
      <c r="G5">
        <f t="shared" si="2"/>
        <v>23755.505664000004</v>
      </c>
    </row>
    <row r="6" spans="1:7" ht="30" x14ac:dyDescent="0.25">
      <c r="A6" s="4" t="s">
        <v>12</v>
      </c>
      <c r="B6" s="5">
        <v>201868800</v>
      </c>
      <c r="C6" s="5">
        <v>207585280</v>
      </c>
      <c r="D6" s="5">
        <f t="shared" si="0"/>
        <v>409454080</v>
      </c>
      <c r="E6">
        <v>4913448960</v>
      </c>
      <c r="F6">
        <f t="shared" si="1"/>
        <v>65455.487999999998</v>
      </c>
      <c r="G6">
        <f t="shared" si="2"/>
        <v>21619.175424000001</v>
      </c>
    </row>
    <row r="7" spans="1:7" x14ac:dyDescent="0.25">
      <c r="A7" s="4" t="s">
        <v>13</v>
      </c>
      <c r="B7" s="9">
        <v>207610880</v>
      </c>
      <c r="C7" s="5">
        <v>222999040</v>
      </c>
      <c r="D7" s="5">
        <f t="shared" si="0"/>
        <v>430609920</v>
      </c>
      <c r="E7">
        <v>5167319040</v>
      </c>
      <c r="F7">
        <f t="shared" si="1"/>
        <v>68743.705600000001</v>
      </c>
      <c r="G7">
        <f t="shared" si="2"/>
        <v>22736.203775999998</v>
      </c>
    </row>
    <row r="8" spans="1:7" x14ac:dyDescent="0.25">
      <c r="A8" s="4" t="s">
        <v>14</v>
      </c>
      <c r="B8" s="9">
        <v>221834240</v>
      </c>
      <c r="C8" s="5">
        <v>259366400</v>
      </c>
      <c r="D8" s="5">
        <f t="shared" si="0"/>
        <v>481200640</v>
      </c>
      <c r="E8">
        <v>5774407680</v>
      </c>
      <c r="F8">
        <f t="shared" si="1"/>
        <v>76616.780800000008</v>
      </c>
      <c r="G8">
        <f t="shared" si="2"/>
        <v>25407.393792000003</v>
      </c>
    </row>
    <row r="9" spans="1:7" x14ac:dyDescent="0.25">
      <c r="A9" s="4" t="s">
        <v>15</v>
      </c>
      <c r="B9" s="9">
        <v>210396160</v>
      </c>
      <c r="C9" s="5">
        <v>226795520</v>
      </c>
      <c r="D9" s="5">
        <f t="shared" si="0"/>
        <v>437191680</v>
      </c>
      <c r="E9">
        <v>5246300160</v>
      </c>
      <c r="F9">
        <f t="shared" si="1"/>
        <v>69786.675199999998</v>
      </c>
      <c r="G9">
        <f t="shared" si="2"/>
        <v>23083.720703999999</v>
      </c>
    </row>
    <row r="10" spans="1:7" x14ac:dyDescent="0.25">
      <c r="A10" s="4" t="s">
        <v>16</v>
      </c>
      <c r="B10" s="9">
        <v>222028800</v>
      </c>
      <c r="C10" s="5">
        <v>259752960</v>
      </c>
      <c r="D10" s="5">
        <f t="shared" si="0"/>
        <v>481781760</v>
      </c>
      <c r="E10">
        <v>5781381120</v>
      </c>
      <c r="F10">
        <f t="shared" si="1"/>
        <v>76707.839999999997</v>
      </c>
      <c r="G10">
        <f t="shared" si="2"/>
        <v>25438.076928000002</v>
      </c>
    </row>
    <row r="11" spans="1:7" x14ac:dyDescent="0.25">
      <c r="A11" s="4" t="s">
        <v>17</v>
      </c>
      <c r="B11" s="9">
        <v>224619520</v>
      </c>
      <c r="C11" s="5">
        <v>273262080</v>
      </c>
      <c r="D11" s="5">
        <f t="shared" si="0"/>
        <v>497881600</v>
      </c>
      <c r="E11">
        <v>5974579200</v>
      </c>
      <c r="F11">
        <f t="shared" si="1"/>
        <v>79174.630400000009</v>
      </c>
      <c r="G11">
        <f t="shared" si="2"/>
        <v>26288.148480000003</v>
      </c>
    </row>
    <row r="12" spans="1:7" x14ac:dyDescent="0.25">
      <c r="A12" s="4" t="s">
        <v>18</v>
      </c>
      <c r="B12" s="9">
        <v>209082880</v>
      </c>
      <c r="C12" s="5">
        <v>225313280</v>
      </c>
      <c r="D12" s="5">
        <f t="shared" si="0"/>
        <v>434396160</v>
      </c>
      <c r="E12">
        <v>5212753920</v>
      </c>
      <c r="F12">
        <f t="shared" si="1"/>
        <v>69341.081600000005</v>
      </c>
      <c r="G12">
        <f t="shared" si="2"/>
        <v>22936.117247999999</v>
      </c>
    </row>
    <row r="13" spans="1:7" x14ac:dyDescent="0.25">
      <c r="A13" s="4" t="s">
        <v>19</v>
      </c>
      <c r="B13" s="9">
        <v>196840960</v>
      </c>
      <c r="C13" s="5">
        <v>199329280</v>
      </c>
      <c r="D13" s="5">
        <f t="shared" si="0"/>
        <v>396170240</v>
      </c>
      <c r="E13">
        <v>4754042880</v>
      </c>
      <c r="F13">
        <f t="shared" si="1"/>
        <v>63362.355199999998</v>
      </c>
      <c r="G13">
        <f t="shared" si="2"/>
        <v>20917.788671999999</v>
      </c>
    </row>
    <row r="14" spans="1:7" x14ac:dyDescent="0.25">
      <c r="A14" s="4" t="s">
        <v>20</v>
      </c>
      <c r="B14" s="9">
        <v>217456640</v>
      </c>
      <c r="C14" s="5">
        <v>242869760</v>
      </c>
      <c r="D14" s="5">
        <f t="shared" si="0"/>
        <v>460326400</v>
      </c>
      <c r="E14">
        <v>5523916800</v>
      </c>
      <c r="F14">
        <f t="shared" si="1"/>
        <v>73398.092800000013</v>
      </c>
      <c r="G14">
        <f t="shared" si="2"/>
        <v>24305.233920000002</v>
      </c>
    </row>
    <row r="15" spans="1:7" x14ac:dyDescent="0.25">
      <c r="A15" s="4" t="s">
        <v>21</v>
      </c>
      <c r="B15" s="9">
        <v>233448960</v>
      </c>
      <c r="C15" s="5">
        <v>313587200</v>
      </c>
      <c r="D15" s="5">
        <f t="shared" si="0"/>
        <v>547036160</v>
      </c>
      <c r="E15">
        <v>6564433920</v>
      </c>
      <c r="F15">
        <f t="shared" si="1"/>
        <v>86724.403200000001</v>
      </c>
      <c r="G15">
        <f t="shared" si="2"/>
        <v>28883.509248000002</v>
      </c>
    </row>
    <row r="16" spans="1:7" x14ac:dyDescent="0.25">
      <c r="A16" s="4" t="s">
        <v>22</v>
      </c>
      <c r="B16" s="9">
        <v>228718080</v>
      </c>
      <c r="C16" s="5">
        <v>288058880</v>
      </c>
      <c r="D16" s="5">
        <f t="shared" si="0"/>
        <v>516776960</v>
      </c>
      <c r="E16">
        <v>6201323520</v>
      </c>
      <c r="F16">
        <f t="shared" si="1"/>
        <v>82090.905599999998</v>
      </c>
      <c r="G16">
        <f t="shared" si="2"/>
        <v>27285.823488000005</v>
      </c>
    </row>
    <row r="17" spans="1:7" x14ac:dyDescent="0.25">
      <c r="A17" s="4" t="s">
        <v>23</v>
      </c>
      <c r="B17" s="9">
        <v>219345920</v>
      </c>
      <c r="C17" s="5">
        <v>251328000</v>
      </c>
      <c r="D17" s="5">
        <f t="shared" si="0"/>
        <v>470673920</v>
      </c>
      <c r="E17">
        <v>5648087040</v>
      </c>
      <c r="F17">
        <f t="shared" si="1"/>
        <v>74988.006399999998</v>
      </c>
      <c r="G17">
        <f t="shared" si="2"/>
        <v>24851.582976000005</v>
      </c>
    </row>
    <row r="18" spans="1:7" x14ac:dyDescent="0.25">
      <c r="A18" s="4" t="s">
        <v>24</v>
      </c>
      <c r="B18" s="9">
        <v>218833920</v>
      </c>
      <c r="C18" s="5">
        <v>249971200</v>
      </c>
      <c r="D18" s="5">
        <f t="shared" si="0"/>
        <v>468805120</v>
      </c>
      <c r="E18">
        <v>5625661440</v>
      </c>
      <c r="F18">
        <f t="shared" si="1"/>
        <v>74697.446400000001</v>
      </c>
      <c r="G18">
        <f t="shared" si="2"/>
        <v>24752.910336000004</v>
      </c>
    </row>
    <row r="19" spans="1:7" x14ac:dyDescent="0.25">
      <c r="A19" s="4" t="s">
        <v>25</v>
      </c>
      <c r="B19" s="9">
        <v>235650560</v>
      </c>
      <c r="C19" s="5">
        <v>337075200</v>
      </c>
      <c r="D19" s="5">
        <f t="shared" si="0"/>
        <v>572725760</v>
      </c>
      <c r="E19">
        <v>6872709120</v>
      </c>
      <c r="F19">
        <f t="shared" si="1"/>
        <v>90621.875199999995</v>
      </c>
      <c r="G19">
        <f t="shared" si="2"/>
        <v>30239.920128000005</v>
      </c>
    </row>
    <row r="20" spans="1:7" x14ac:dyDescent="0.25">
      <c r="A20" s="4" t="s">
        <v>26</v>
      </c>
      <c r="B20" s="9">
        <v>221009920</v>
      </c>
      <c r="C20" s="5">
        <v>256655360</v>
      </c>
      <c r="D20" s="5">
        <f t="shared" si="0"/>
        <v>477665280</v>
      </c>
      <c r="E20">
        <v>5731983360</v>
      </c>
      <c r="F20">
        <f t="shared" si="1"/>
        <v>76069.990399999995</v>
      </c>
      <c r="G20">
        <f t="shared" si="2"/>
        <v>25220.726784000002</v>
      </c>
    </row>
    <row r="21" spans="1:7" x14ac:dyDescent="0.25">
      <c r="A21" s="4" t="s">
        <v>27</v>
      </c>
      <c r="B21" s="9">
        <v>223674880</v>
      </c>
      <c r="C21" s="5">
        <v>268154880</v>
      </c>
      <c r="D21" s="5">
        <f t="shared" si="0"/>
        <v>491829760</v>
      </c>
      <c r="E21">
        <v>5901957120</v>
      </c>
      <c r="F21">
        <f t="shared" si="1"/>
        <v>78247.96160000001</v>
      </c>
      <c r="G21">
        <f t="shared" si="2"/>
        <v>25968.611328000003</v>
      </c>
    </row>
    <row r="25" spans="1:7" ht="60" x14ac:dyDescent="0.25">
      <c r="A25" s="2" t="s">
        <v>54</v>
      </c>
      <c r="B25" s="2" t="s">
        <v>55</v>
      </c>
      <c r="C25" s="2" t="s">
        <v>56</v>
      </c>
    </row>
    <row r="26" spans="1:7" x14ac:dyDescent="0.25">
      <c r="A26" s="4" t="s">
        <v>57</v>
      </c>
      <c r="B26" s="4">
        <v>4.4000000000000004</v>
      </c>
      <c r="C26" s="4" t="s">
        <v>58</v>
      </c>
    </row>
    <row r="27" spans="1:7" x14ac:dyDescent="0.25">
      <c r="A27" s="4" t="s">
        <v>59</v>
      </c>
      <c r="B27" s="4">
        <v>1.2</v>
      </c>
      <c r="C27" s="4" t="s">
        <v>60</v>
      </c>
      <c r="E27" t="s">
        <v>85</v>
      </c>
    </row>
    <row r="28" spans="1:7" ht="30" x14ac:dyDescent="0.25">
      <c r="A28" s="4" t="s">
        <v>61</v>
      </c>
      <c r="B28" s="4">
        <v>0.8</v>
      </c>
      <c r="C28" s="4" t="s">
        <v>62</v>
      </c>
      <c r="E28" s="17"/>
    </row>
    <row r="29" spans="1:7" x14ac:dyDescent="0.25">
      <c r="A29" s="4" t="s">
        <v>63</v>
      </c>
      <c r="B29" s="4">
        <v>0.4</v>
      </c>
      <c r="C29" s="4" t="s">
        <v>64</v>
      </c>
      <c r="E29" s="17" t="s">
        <v>86</v>
      </c>
    </row>
    <row r="30" spans="1:7" x14ac:dyDescent="0.25">
      <c r="E30" s="17"/>
    </row>
    <row r="31" spans="1:7" x14ac:dyDescent="0.25">
      <c r="A31" s="2" t="s">
        <v>65</v>
      </c>
      <c r="B31" s="2" t="s">
        <v>66</v>
      </c>
      <c r="C31" s="2" t="s">
        <v>67</v>
      </c>
      <c r="E31" s="17" t="s">
        <v>87</v>
      </c>
    </row>
    <row r="32" spans="1:7" x14ac:dyDescent="0.25">
      <c r="A32" s="4" t="s">
        <v>68</v>
      </c>
      <c r="B32" s="4">
        <v>0.01</v>
      </c>
      <c r="C32" s="4">
        <v>5.0000000000000001E-3</v>
      </c>
      <c r="E32" s="17"/>
    </row>
    <row r="33" spans="1:5" ht="30" x14ac:dyDescent="0.25">
      <c r="A33" s="4" t="s">
        <v>69</v>
      </c>
      <c r="B33" s="4">
        <v>5.0000000000000001E-3</v>
      </c>
      <c r="C33" s="4">
        <v>2E-3</v>
      </c>
      <c r="E33" s="17" t="s">
        <v>88</v>
      </c>
    </row>
    <row r="34" spans="1:5" ht="30" x14ac:dyDescent="0.25">
      <c r="A34" s="4" t="s">
        <v>70</v>
      </c>
      <c r="B34" s="13">
        <v>0.15</v>
      </c>
      <c r="C34" s="4">
        <v>0.05</v>
      </c>
    </row>
    <row r="35" spans="1:5" ht="30" x14ac:dyDescent="0.25">
      <c r="A35" s="4" t="s">
        <v>71</v>
      </c>
      <c r="B35" s="4">
        <v>0.02</v>
      </c>
      <c r="C35" s="4">
        <v>0.01</v>
      </c>
      <c r="E35" t="s">
        <v>89</v>
      </c>
    </row>
    <row r="36" spans="1:5" ht="30" x14ac:dyDescent="0.25">
      <c r="A36" s="4" t="s">
        <v>72</v>
      </c>
      <c r="B36" s="13">
        <v>2E-3</v>
      </c>
      <c r="C36" s="4">
        <v>1E-3</v>
      </c>
    </row>
    <row r="39" spans="1:5" ht="30" x14ac:dyDescent="0.25">
      <c r="A39" s="2" t="s">
        <v>73</v>
      </c>
      <c r="B39" s="2" t="s">
        <v>74</v>
      </c>
      <c r="C39" s="2" t="s">
        <v>75</v>
      </c>
    </row>
    <row r="40" spans="1:5" ht="75" x14ac:dyDescent="0.25">
      <c r="A40" s="14" t="s">
        <v>76</v>
      </c>
      <c r="B40" s="4" t="s">
        <v>77</v>
      </c>
      <c r="C40" s="4" t="s">
        <v>78</v>
      </c>
    </row>
    <row r="41" spans="1:5" ht="120" x14ac:dyDescent="0.25">
      <c r="A41" s="15" t="s">
        <v>79</v>
      </c>
      <c r="B41" s="16" t="s">
        <v>80</v>
      </c>
      <c r="C41" s="16" t="s">
        <v>81</v>
      </c>
    </row>
    <row r="42" spans="1:5" ht="60" x14ac:dyDescent="0.25">
      <c r="A42" s="14" t="s">
        <v>82</v>
      </c>
      <c r="B42" s="4" t="s">
        <v>83</v>
      </c>
      <c r="C42" s="4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fcce7-54a5-408a-9661-fe28f8bfca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205FDE190A42B51D4C14B6548430" ma:contentTypeVersion="11" ma:contentTypeDescription="Create a new document." ma:contentTypeScope="" ma:versionID="ae2005748c1b06dc5da9093fa942a44e">
  <xsd:schema xmlns:xsd="http://www.w3.org/2001/XMLSchema" xmlns:xs="http://www.w3.org/2001/XMLSchema" xmlns:p="http://schemas.microsoft.com/office/2006/metadata/properties" xmlns:ns2="438fcce7-54a5-408a-9661-fe28f8bfca84" targetNamespace="http://schemas.microsoft.com/office/2006/metadata/properties" ma:root="true" ma:fieldsID="108031a2af8962d3e548b2626eb7c617" ns2:_="">
    <xsd:import namespace="438fcce7-54a5-408a-9661-fe28f8bfc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fcce7-54a5-408a-9661-fe28f8bfc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BFCB0-6D46-406A-817F-B992ACCF5BE7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38fcce7-54a5-408a-9661-fe28f8bfca84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60BEDD-6CC1-43EB-8C28-A368F918D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8fcce7-54a5-408a-9661-fe28f8bfc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5EDAFB-947E-4CC4-B664-4E8686A8D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ARD</vt:lpstr>
      <vt:lpstr>Energy&amp;GHG</vt:lpstr>
      <vt:lpstr>Air emissions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Altalhi, Hussam Naif S (S&amp;T-Student)</cp:lastModifiedBy>
  <cp:revision/>
  <dcterms:created xsi:type="dcterms:W3CDTF">2025-11-10T12:02:33Z</dcterms:created>
  <dcterms:modified xsi:type="dcterms:W3CDTF">2025-11-16T07:50:04Z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0x0101007C71205FDE190A42B51D4C14B6548430</vt:lpwstr>
  </property>
  <property fmtid="{D5CDD505-2E9C-101B-9397-08002B2CF9AE}" pid="3" name="MediaServiceImageTags">
    <vt:lpwstr/>
  </property>
</Properties>
</file>