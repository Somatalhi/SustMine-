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mailmissouri.sharepoint.com/sites/Research91-Ogrp-Othersustainability/Shared Documents/Other sustainability/Hussam Naif S Altalhi/Experiments &amp; Results/SDIs calculations/"/>
    </mc:Choice>
  </mc:AlternateContent>
  <xr:revisionPtr revIDLastSave="283" documentId="8_{DB74F385-9C81-4AE4-936F-156D4855038E}" xr6:coauthVersionLast="47" xr6:coauthVersionMax="47" xr10:uidLastSave="{6B0B30B6-71F8-4DFC-A64F-B9D09513B747}"/>
  <bookViews>
    <workbookView xWindow="-120" yWindow="-120" windowWidth="29040" windowHeight="15720" firstSheet="1" activeTab="1" xr2:uid="{00000000-000D-0000-FFFF-FFFF00000000}"/>
  </bookViews>
  <sheets>
    <sheet name="ReadMe" sheetId="3" r:id="rId1"/>
    <sheet name="Summary" sheetId="24" r:id="rId2"/>
    <sheet name="Schedule_1" sheetId="4" r:id="rId3"/>
    <sheet name="Schedule_2" sheetId="5" r:id="rId4"/>
    <sheet name="Schedule_3" sheetId="6" r:id="rId5"/>
    <sheet name="Schedule_4" sheetId="7" r:id="rId6"/>
    <sheet name="Schedule_5" sheetId="8" r:id="rId7"/>
    <sheet name="Schedule_6" sheetId="9" r:id="rId8"/>
    <sheet name="Schedule_7" sheetId="10" r:id="rId9"/>
    <sheet name="Schedule_8" sheetId="11" r:id="rId10"/>
    <sheet name="Schedule_9" sheetId="12" r:id="rId11"/>
    <sheet name="Schedule_10" sheetId="13" r:id="rId12"/>
    <sheet name="Schedule_11" sheetId="14" r:id="rId13"/>
    <sheet name="Schedule_12" sheetId="15" r:id="rId14"/>
    <sheet name="Schedule_13" sheetId="16" r:id="rId15"/>
    <sheet name="Schedule_14" sheetId="17" r:id="rId16"/>
    <sheet name="Schedule_15" sheetId="18" r:id="rId17"/>
    <sheet name="Schedule_16" sheetId="19" r:id="rId18"/>
    <sheet name="Schedule_17" sheetId="20" r:id="rId19"/>
    <sheet name="Schedule_18" sheetId="21" r:id="rId20"/>
    <sheet name="Schedule_19" sheetId="22" r:id="rId21"/>
    <sheet name="Schedule_20" sheetId="23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3" l="1"/>
  <c r="E28" i="23" s="1"/>
  <c r="F28" i="23"/>
  <c r="G28" i="23"/>
  <c r="H31" i="23" s="1"/>
  <c r="I31" i="23" s="1"/>
  <c r="J31" i="23" s="1"/>
  <c r="K31" i="23" s="1"/>
  <c r="D29" i="23"/>
  <c r="E29" i="23" s="1"/>
  <c r="J29" i="23" s="1"/>
  <c r="K29" i="23" s="1"/>
  <c r="F29" i="23"/>
  <c r="G29" i="23"/>
  <c r="H29" i="23"/>
  <c r="I29" i="23"/>
  <c r="D30" i="23"/>
  <c r="E30" i="23" s="1"/>
  <c r="J30" i="23" s="1"/>
  <c r="K30" i="23" s="1"/>
  <c r="F30" i="23"/>
  <c r="G30" i="23"/>
  <c r="H30" i="23"/>
  <c r="I30" i="23"/>
  <c r="D31" i="23"/>
  <c r="E31" i="23"/>
  <c r="F31" i="23"/>
  <c r="G31" i="23"/>
  <c r="H33" i="23" s="1"/>
  <c r="I33" i="23" s="1"/>
  <c r="J33" i="23" s="1"/>
  <c r="K33" i="23" s="1"/>
  <c r="D32" i="23"/>
  <c r="E32" i="23"/>
  <c r="F32" i="23"/>
  <c r="G32" i="23"/>
  <c r="D33" i="23"/>
  <c r="E33" i="23"/>
  <c r="F33" i="23"/>
  <c r="G33" i="23"/>
  <c r="C35" i="23"/>
  <c r="G27" i="23"/>
  <c r="F27" i="23"/>
  <c r="D27" i="23"/>
  <c r="E27" i="23" s="1"/>
  <c r="G26" i="23"/>
  <c r="F26" i="23"/>
  <c r="D26" i="23"/>
  <c r="E26" i="23" s="1"/>
  <c r="G25" i="23"/>
  <c r="F25" i="23"/>
  <c r="D25" i="23"/>
  <c r="E25" i="23" s="1"/>
  <c r="G24" i="23"/>
  <c r="F24" i="23"/>
  <c r="D24" i="23"/>
  <c r="E24" i="23" s="1"/>
  <c r="G23" i="23"/>
  <c r="F23" i="23"/>
  <c r="D23" i="23"/>
  <c r="E23" i="23" s="1"/>
  <c r="G22" i="23"/>
  <c r="F22" i="23"/>
  <c r="D22" i="23"/>
  <c r="E22" i="23" s="1"/>
  <c r="G21" i="23"/>
  <c r="F21" i="23"/>
  <c r="D21" i="23"/>
  <c r="E21" i="23" s="1"/>
  <c r="G20" i="23"/>
  <c r="F20" i="23"/>
  <c r="D20" i="23"/>
  <c r="E20" i="23" s="1"/>
  <c r="G19" i="23"/>
  <c r="F19" i="23"/>
  <c r="D19" i="23"/>
  <c r="E19" i="23" s="1"/>
  <c r="G18" i="23"/>
  <c r="F18" i="23"/>
  <c r="D18" i="23"/>
  <c r="E18" i="23" s="1"/>
  <c r="G17" i="23"/>
  <c r="F17" i="23"/>
  <c r="D17" i="23"/>
  <c r="E17" i="23" s="1"/>
  <c r="G16" i="23"/>
  <c r="F16" i="23"/>
  <c r="D16" i="23"/>
  <c r="E16" i="23" s="1"/>
  <c r="G15" i="23"/>
  <c r="F15" i="23"/>
  <c r="D15" i="23"/>
  <c r="E15" i="23" s="1"/>
  <c r="G14" i="23"/>
  <c r="F14" i="23"/>
  <c r="D14" i="23"/>
  <c r="E14" i="23" s="1"/>
  <c r="G13" i="23"/>
  <c r="F13" i="23"/>
  <c r="D13" i="23"/>
  <c r="E13" i="23" s="1"/>
  <c r="G12" i="23"/>
  <c r="F12" i="23"/>
  <c r="D12" i="23"/>
  <c r="E12" i="23" s="1"/>
  <c r="G11" i="23"/>
  <c r="F11" i="23"/>
  <c r="D11" i="23"/>
  <c r="E11" i="23" s="1"/>
  <c r="G10" i="23"/>
  <c r="F10" i="23"/>
  <c r="D10" i="23"/>
  <c r="E10" i="23" s="1"/>
  <c r="G9" i="23"/>
  <c r="F9" i="23"/>
  <c r="D9" i="23"/>
  <c r="E9" i="23" s="1"/>
  <c r="G8" i="23"/>
  <c r="F8" i="23"/>
  <c r="D8" i="23"/>
  <c r="E8" i="23" s="1"/>
  <c r="G7" i="23"/>
  <c r="F7" i="23"/>
  <c r="D7" i="23"/>
  <c r="E7" i="23" s="1"/>
  <c r="G6" i="23"/>
  <c r="F6" i="23"/>
  <c r="D6" i="23"/>
  <c r="E6" i="23" s="1"/>
  <c r="G5" i="23"/>
  <c r="F5" i="23"/>
  <c r="D5" i="23"/>
  <c r="E5" i="23" s="1"/>
  <c r="G4" i="23"/>
  <c r="F4" i="23"/>
  <c r="D4" i="23"/>
  <c r="E4" i="23" s="1"/>
  <c r="G3" i="23"/>
  <c r="F3" i="23"/>
  <c r="D3" i="23"/>
  <c r="E3" i="23" s="1"/>
  <c r="G2" i="23"/>
  <c r="F2" i="23"/>
  <c r="D2" i="23"/>
  <c r="E2" i="23" s="1"/>
  <c r="C35" i="22"/>
  <c r="G27" i="22"/>
  <c r="F27" i="22"/>
  <c r="D27" i="22"/>
  <c r="E27" i="22" s="1"/>
  <c r="G26" i="22"/>
  <c r="F26" i="22"/>
  <c r="D26" i="22"/>
  <c r="E26" i="22" s="1"/>
  <c r="G25" i="22"/>
  <c r="F25" i="22"/>
  <c r="D25" i="22"/>
  <c r="E25" i="22" s="1"/>
  <c r="G24" i="22"/>
  <c r="F24" i="22"/>
  <c r="D24" i="22"/>
  <c r="E24" i="22" s="1"/>
  <c r="G23" i="22"/>
  <c r="F23" i="22"/>
  <c r="D23" i="22"/>
  <c r="E23" i="22" s="1"/>
  <c r="G22" i="22"/>
  <c r="F22" i="22"/>
  <c r="D22" i="22"/>
  <c r="E22" i="22" s="1"/>
  <c r="G21" i="22"/>
  <c r="F21" i="22"/>
  <c r="D21" i="22"/>
  <c r="E21" i="22" s="1"/>
  <c r="G20" i="22"/>
  <c r="F20" i="22"/>
  <c r="D20" i="22"/>
  <c r="E20" i="22" s="1"/>
  <c r="G19" i="22"/>
  <c r="F19" i="22"/>
  <c r="D19" i="22"/>
  <c r="E19" i="22" s="1"/>
  <c r="G18" i="22"/>
  <c r="F18" i="22"/>
  <c r="D18" i="22"/>
  <c r="E18" i="22" s="1"/>
  <c r="G17" i="22"/>
  <c r="F17" i="22"/>
  <c r="D17" i="22"/>
  <c r="E17" i="22" s="1"/>
  <c r="G16" i="22"/>
  <c r="F16" i="22"/>
  <c r="D16" i="22"/>
  <c r="E16" i="22" s="1"/>
  <c r="G15" i="22"/>
  <c r="F15" i="22"/>
  <c r="D15" i="22"/>
  <c r="E15" i="22" s="1"/>
  <c r="G14" i="22"/>
  <c r="F14" i="22"/>
  <c r="D14" i="22"/>
  <c r="E14" i="22" s="1"/>
  <c r="G13" i="22"/>
  <c r="F13" i="22"/>
  <c r="D13" i="22"/>
  <c r="E13" i="22" s="1"/>
  <c r="G12" i="22"/>
  <c r="F12" i="22"/>
  <c r="D12" i="22"/>
  <c r="E12" i="22" s="1"/>
  <c r="G11" i="22"/>
  <c r="F11" i="22"/>
  <c r="D11" i="22"/>
  <c r="E11" i="22" s="1"/>
  <c r="G10" i="22"/>
  <c r="F10" i="22"/>
  <c r="D10" i="22"/>
  <c r="E10" i="22" s="1"/>
  <c r="G9" i="22"/>
  <c r="F9" i="22"/>
  <c r="D9" i="22"/>
  <c r="E9" i="22" s="1"/>
  <c r="G8" i="22"/>
  <c r="F8" i="22"/>
  <c r="D8" i="22"/>
  <c r="E8" i="22" s="1"/>
  <c r="G7" i="22"/>
  <c r="F7" i="22"/>
  <c r="D7" i="22"/>
  <c r="E7" i="22" s="1"/>
  <c r="G6" i="22"/>
  <c r="F6" i="22"/>
  <c r="D6" i="22"/>
  <c r="E6" i="22" s="1"/>
  <c r="G5" i="22"/>
  <c r="F5" i="22"/>
  <c r="D5" i="22"/>
  <c r="E5" i="22" s="1"/>
  <c r="G4" i="22"/>
  <c r="F4" i="22"/>
  <c r="D4" i="22"/>
  <c r="E4" i="22" s="1"/>
  <c r="G3" i="22"/>
  <c r="F3" i="22"/>
  <c r="D3" i="22"/>
  <c r="E3" i="22" s="1"/>
  <c r="G2" i="22"/>
  <c r="F2" i="22"/>
  <c r="D2" i="22"/>
  <c r="E2" i="22" s="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2" i="21"/>
  <c r="D31" i="21"/>
  <c r="E31" i="21"/>
  <c r="F31" i="21"/>
  <c r="G31" i="21"/>
  <c r="H34" i="21" s="1"/>
  <c r="H31" i="21"/>
  <c r="J31" i="21"/>
  <c r="K31" i="21"/>
  <c r="D32" i="21"/>
  <c r="E32" i="21"/>
  <c r="F32" i="21"/>
  <c r="G32" i="21"/>
  <c r="H35" i="21" s="1"/>
  <c r="J35" i="21" s="1"/>
  <c r="K35" i="21" s="1"/>
  <c r="H32" i="21"/>
  <c r="J32" i="21"/>
  <c r="K32" i="21"/>
  <c r="D33" i="21"/>
  <c r="E33" i="21"/>
  <c r="F33" i="21"/>
  <c r="G33" i="21"/>
  <c r="D34" i="21"/>
  <c r="E34" i="21"/>
  <c r="F34" i="21"/>
  <c r="G34" i="21"/>
  <c r="D35" i="21"/>
  <c r="E35" i="21"/>
  <c r="F35" i="21"/>
  <c r="G35" i="21"/>
  <c r="D36" i="21"/>
  <c r="E36" i="21"/>
  <c r="F36" i="21"/>
  <c r="G36" i="21"/>
  <c r="G30" i="21"/>
  <c r="F30" i="21"/>
  <c r="D30" i="21"/>
  <c r="E30" i="21" s="1"/>
  <c r="G29" i="21"/>
  <c r="F29" i="21"/>
  <c r="D29" i="21"/>
  <c r="E29" i="21" s="1"/>
  <c r="G28" i="21"/>
  <c r="F28" i="21"/>
  <c r="D28" i="21"/>
  <c r="E28" i="21" s="1"/>
  <c r="G27" i="21"/>
  <c r="F27" i="21"/>
  <c r="D27" i="21"/>
  <c r="E27" i="21" s="1"/>
  <c r="G26" i="21"/>
  <c r="F26" i="21"/>
  <c r="D26" i="21"/>
  <c r="E26" i="21" s="1"/>
  <c r="G25" i="21"/>
  <c r="F25" i="21"/>
  <c r="D25" i="21"/>
  <c r="E25" i="21" s="1"/>
  <c r="G24" i="21"/>
  <c r="F24" i="21"/>
  <c r="D24" i="21"/>
  <c r="E24" i="21" s="1"/>
  <c r="G23" i="21"/>
  <c r="F23" i="21"/>
  <c r="D23" i="21"/>
  <c r="E23" i="21" s="1"/>
  <c r="G22" i="21"/>
  <c r="F22" i="21"/>
  <c r="D22" i="21"/>
  <c r="E22" i="21" s="1"/>
  <c r="G21" i="21"/>
  <c r="F21" i="21"/>
  <c r="D21" i="21"/>
  <c r="E21" i="21" s="1"/>
  <c r="G20" i="21"/>
  <c r="F20" i="21"/>
  <c r="D20" i="21"/>
  <c r="E20" i="21" s="1"/>
  <c r="G19" i="21"/>
  <c r="F19" i="21"/>
  <c r="D19" i="21"/>
  <c r="E19" i="21" s="1"/>
  <c r="G18" i="21"/>
  <c r="F18" i="21"/>
  <c r="D18" i="21"/>
  <c r="E18" i="21" s="1"/>
  <c r="G17" i="21"/>
  <c r="F17" i="21"/>
  <c r="D17" i="21"/>
  <c r="E17" i="21" s="1"/>
  <c r="G16" i="21"/>
  <c r="F16" i="21"/>
  <c r="D16" i="21"/>
  <c r="E16" i="21" s="1"/>
  <c r="G15" i="21"/>
  <c r="F15" i="21"/>
  <c r="D15" i="21"/>
  <c r="E15" i="21" s="1"/>
  <c r="G14" i="21"/>
  <c r="F14" i="21"/>
  <c r="D14" i="21"/>
  <c r="E14" i="21" s="1"/>
  <c r="G13" i="21"/>
  <c r="F13" i="21"/>
  <c r="D13" i="21"/>
  <c r="E13" i="21" s="1"/>
  <c r="G12" i="21"/>
  <c r="F12" i="21"/>
  <c r="D12" i="21"/>
  <c r="E12" i="21" s="1"/>
  <c r="G11" i="21"/>
  <c r="F11" i="21"/>
  <c r="D11" i="21"/>
  <c r="E11" i="21" s="1"/>
  <c r="G10" i="21"/>
  <c r="F10" i="21"/>
  <c r="D10" i="21"/>
  <c r="E10" i="21" s="1"/>
  <c r="G9" i="21"/>
  <c r="F9" i="21"/>
  <c r="D9" i="21"/>
  <c r="E9" i="21" s="1"/>
  <c r="G8" i="21"/>
  <c r="F8" i="21"/>
  <c r="D8" i="21"/>
  <c r="E8" i="21" s="1"/>
  <c r="G7" i="21"/>
  <c r="F7" i="21"/>
  <c r="D7" i="21"/>
  <c r="E7" i="21" s="1"/>
  <c r="G6" i="21"/>
  <c r="F6" i="21"/>
  <c r="D6" i="21"/>
  <c r="E6" i="21" s="1"/>
  <c r="G5" i="21"/>
  <c r="F5" i="21"/>
  <c r="D5" i="21"/>
  <c r="E5" i="21" s="1"/>
  <c r="G4" i="21"/>
  <c r="F4" i="21"/>
  <c r="D4" i="21"/>
  <c r="E4" i="21" s="1"/>
  <c r="G3" i="21"/>
  <c r="F3" i="21"/>
  <c r="D3" i="21"/>
  <c r="E3" i="21" s="1"/>
  <c r="G2" i="21"/>
  <c r="F2" i="21"/>
  <c r="D2" i="21"/>
  <c r="E2" i="21" s="1"/>
  <c r="D22" i="20"/>
  <c r="E22" i="20"/>
  <c r="F22" i="20"/>
  <c r="G22" i="20"/>
  <c r="H25" i="20" s="1"/>
  <c r="I25" i="20" s="1"/>
  <c r="J25" i="20" s="1"/>
  <c r="K25" i="20" s="1"/>
  <c r="H22" i="20"/>
  <c r="I22" i="20" s="1"/>
  <c r="J22" i="20" s="1"/>
  <c r="K22" i="20" s="1"/>
  <c r="D23" i="20"/>
  <c r="E23" i="20"/>
  <c r="F23" i="20"/>
  <c r="G23" i="20"/>
  <c r="H23" i="20"/>
  <c r="I23" i="20"/>
  <c r="J23" i="20"/>
  <c r="K23" i="20"/>
  <c r="D24" i="20"/>
  <c r="E24" i="20" s="1"/>
  <c r="J24" i="20" s="1"/>
  <c r="K24" i="20" s="1"/>
  <c r="F24" i="20"/>
  <c r="G24" i="20"/>
  <c r="H29" i="20" s="1"/>
  <c r="I29" i="20" s="1"/>
  <c r="J29" i="20" s="1"/>
  <c r="K29" i="20" s="1"/>
  <c r="H24" i="20"/>
  <c r="I24" i="20"/>
  <c r="D25" i="20"/>
  <c r="E25" i="20"/>
  <c r="F25" i="20"/>
  <c r="G25" i="20"/>
  <c r="H27" i="20" s="1"/>
  <c r="I27" i="20" s="1"/>
  <c r="J27" i="20" s="1"/>
  <c r="K27" i="20" s="1"/>
  <c r="D26" i="20"/>
  <c r="E26" i="20" s="1"/>
  <c r="F26" i="20"/>
  <c r="G26" i="20"/>
  <c r="D27" i="20"/>
  <c r="E27" i="20"/>
  <c r="F27" i="20"/>
  <c r="G27" i="20"/>
  <c r="D28" i="20"/>
  <c r="E28" i="20"/>
  <c r="F28" i="20"/>
  <c r="G28" i="20"/>
  <c r="D29" i="20"/>
  <c r="E29" i="20"/>
  <c r="F29" i="20"/>
  <c r="G29" i="20"/>
  <c r="D30" i="20"/>
  <c r="E30" i="20"/>
  <c r="F30" i="20"/>
  <c r="G30" i="20"/>
  <c r="C35" i="20"/>
  <c r="G21" i="20"/>
  <c r="F21" i="20"/>
  <c r="D21" i="20"/>
  <c r="E21" i="20" s="1"/>
  <c r="G20" i="20"/>
  <c r="F20" i="20"/>
  <c r="D20" i="20"/>
  <c r="E20" i="20" s="1"/>
  <c r="G19" i="20"/>
  <c r="F19" i="20"/>
  <c r="D19" i="20"/>
  <c r="E19" i="20" s="1"/>
  <c r="G18" i="20"/>
  <c r="F18" i="20"/>
  <c r="D18" i="20"/>
  <c r="E18" i="20" s="1"/>
  <c r="G17" i="20"/>
  <c r="F17" i="20"/>
  <c r="D17" i="20"/>
  <c r="E17" i="20" s="1"/>
  <c r="G16" i="20"/>
  <c r="F16" i="20"/>
  <c r="D16" i="20"/>
  <c r="E16" i="20" s="1"/>
  <c r="G15" i="20"/>
  <c r="F15" i="20"/>
  <c r="D15" i="20"/>
  <c r="E15" i="20" s="1"/>
  <c r="G14" i="20"/>
  <c r="F14" i="20"/>
  <c r="D14" i="20"/>
  <c r="E14" i="20" s="1"/>
  <c r="G13" i="20"/>
  <c r="F13" i="20"/>
  <c r="D13" i="20"/>
  <c r="E13" i="20" s="1"/>
  <c r="G12" i="20"/>
  <c r="F12" i="20"/>
  <c r="D12" i="20"/>
  <c r="E12" i="20" s="1"/>
  <c r="G11" i="20"/>
  <c r="F11" i="20"/>
  <c r="D11" i="20"/>
  <c r="E11" i="20" s="1"/>
  <c r="G10" i="20"/>
  <c r="F10" i="20"/>
  <c r="D10" i="20"/>
  <c r="E10" i="20" s="1"/>
  <c r="G9" i="20"/>
  <c r="F9" i="20"/>
  <c r="D9" i="20"/>
  <c r="E9" i="20" s="1"/>
  <c r="G8" i="20"/>
  <c r="F8" i="20"/>
  <c r="D8" i="20"/>
  <c r="E8" i="20" s="1"/>
  <c r="G7" i="20"/>
  <c r="F7" i="20"/>
  <c r="D7" i="20"/>
  <c r="E7" i="20" s="1"/>
  <c r="G6" i="20"/>
  <c r="F6" i="20"/>
  <c r="D6" i="20"/>
  <c r="E6" i="20" s="1"/>
  <c r="G5" i="20"/>
  <c r="F5" i="20"/>
  <c r="D5" i="20"/>
  <c r="E5" i="20" s="1"/>
  <c r="G4" i="20"/>
  <c r="F4" i="20"/>
  <c r="D4" i="20"/>
  <c r="E4" i="20" s="1"/>
  <c r="G3" i="20"/>
  <c r="H18" i="20" s="1"/>
  <c r="I18" i="20" s="1"/>
  <c r="J18" i="20" s="1"/>
  <c r="K18" i="20" s="1"/>
  <c r="F3" i="20"/>
  <c r="D3" i="20"/>
  <c r="E3" i="20" s="1"/>
  <c r="G2" i="20"/>
  <c r="H2" i="20" s="1"/>
  <c r="I2" i="20" s="1"/>
  <c r="F2" i="20"/>
  <c r="D2" i="20"/>
  <c r="E2" i="20" s="1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" i="19"/>
  <c r="C35" i="19"/>
  <c r="G21" i="19"/>
  <c r="F21" i="19"/>
  <c r="D21" i="19"/>
  <c r="E21" i="19" s="1"/>
  <c r="G20" i="19"/>
  <c r="F20" i="19"/>
  <c r="D20" i="19"/>
  <c r="E20" i="19" s="1"/>
  <c r="G19" i="19"/>
  <c r="F19" i="19"/>
  <c r="D19" i="19"/>
  <c r="E19" i="19" s="1"/>
  <c r="G18" i="19"/>
  <c r="F18" i="19"/>
  <c r="D18" i="19"/>
  <c r="E18" i="19" s="1"/>
  <c r="G17" i="19"/>
  <c r="F17" i="19"/>
  <c r="D17" i="19"/>
  <c r="E17" i="19" s="1"/>
  <c r="G16" i="19"/>
  <c r="F16" i="19"/>
  <c r="D16" i="19"/>
  <c r="E16" i="19" s="1"/>
  <c r="G15" i="19"/>
  <c r="F15" i="19"/>
  <c r="D15" i="19"/>
  <c r="E15" i="19" s="1"/>
  <c r="G14" i="19"/>
  <c r="F14" i="19"/>
  <c r="D14" i="19"/>
  <c r="E14" i="19" s="1"/>
  <c r="G13" i="19"/>
  <c r="F13" i="19"/>
  <c r="D13" i="19"/>
  <c r="E13" i="19" s="1"/>
  <c r="G12" i="19"/>
  <c r="F12" i="19"/>
  <c r="D12" i="19"/>
  <c r="E12" i="19" s="1"/>
  <c r="G11" i="19"/>
  <c r="F11" i="19"/>
  <c r="D11" i="19"/>
  <c r="E11" i="19" s="1"/>
  <c r="G10" i="19"/>
  <c r="F10" i="19"/>
  <c r="D10" i="19"/>
  <c r="E10" i="19" s="1"/>
  <c r="G9" i="19"/>
  <c r="F9" i="19"/>
  <c r="D9" i="19"/>
  <c r="E9" i="19" s="1"/>
  <c r="G8" i="19"/>
  <c r="H18" i="19" s="1"/>
  <c r="F8" i="19"/>
  <c r="D8" i="19"/>
  <c r="E8" i="19" s="1"/>
  <c r="G7" i="19"/>
  <c r="F7" i="19"/>
  <c r="D7" i="19"/>
  <c r="E7" i="19" s="1"/>
  <c r="G6" i="19"/>
  <c r="F6" i="19"/>
  <c r="D6" i="19"/>
  <c r="E6" i="19" s="1"/>
  <c r="G5" i="19"/>
  <c r="F5" i="19"/>
  <c r="D5" i="19"/>
  <c r="E5" i="19" s="1"/>
  <c r="G4" i="19"/>
  <c r="H4" i="19" s="1"/>
  <c r="J4" i="19" s="1"/>
  <c r="K4" i="19" s="1"/>
  <c r="F4" i="19"/>
  <c r="D4" i="19"/>
  <c r="E4" i="19" s="1"/>
  <c r="G3" i="19"/>
  <c r="F3" i="19"/>
  <c r="D3" i="19"/>
  <c r="E3" i="19" s="1"/>
  <c r="G2" i="19"/>
  <c r="H11" i="19" s="1"/>
  <c r="J11" i="19" s="1"/>
  <c r="K11" i="19" s="1"/>
  <c r="F2" i="19"/>
  <c r="D2" i="19"/>
  <c r="E2" i="19" s="1"/>
  <c r="D26" i="18"/>
  <c r="E26" i="18"/>
  <c r="F26" i="18"/>
  <c r="G26" i="18"/>
  <c r="H29" i="18" s="1"/>
  <c r="I29" i="18" s="1"/>
  <c r="J29" i="18" s="1"/>
  <c r="K29" i="18" s="1"/>
  <c r="D27" i="18"/>
  <c r="E27" i="18" s="1"/>
  <c r="F27" i="18"/>
  <c r="G27" i="18"/>
  <c r="D28" i="18"/>
  <c r="E28" i="18" s="1"/>
  <c r="J28" i="18" s="1"/>
  <c r="K28" i="18" s="1"/>
  <c r="F28" i="18"/>
  <c r="G28" i="18"/>
  <c r="H28" i="18"/>
  <c r="I28" i="18"/>
  <c r="D29" i="18"/>
  <c r="E29" i="18"/>
  <c r="F29" i="18"/>
  <c r="G29" i="18"/>
  <c r="H31" i="18" s="1"/>
  <c r="I31" i="18" s="1"/>
  <c r="J31" i="18" s="1"/>
  <c r="K31" i="18" s="1"/>
  <c r="D30" i="18"/>
  <c r="E30" i="18"/>
  <c r="F30" i="18"/>
  <c r="G30" i="18"/>
  <c r="D31" i="18"/>
  <c r="E31" i="18"/>
  <c r="F31" i="18"/>
  <c r="G31" i="18"/>
  <c r="D32" i="18"/>
  <c r="E32" i="18"/>
  <c r="F32" i="18"/>
  <c r="G32" i="18"/>
  <c r="D33" i="18"/>
  <c r="E33" i="18"/>
  <c r="F33" i="18"/>
  <c r="G33" i="18"/>
  <c r="C35" i="18"/>
  <c r="G25" i="18"/>
  <c r="F25" i="18"/>
  <c r="D25" i="18"/>
  <c r="E25" i="18" s="1"/>
  <c r="G24" i="18"/>
  <c r="F24" i="18"/>
  <c r="D24" i="18"/>
  <c r="E24" i="18" s="1"/>
  <c r="G23" i="18"/>
  <c r="F23" i="18"/>
  <c r="D23" i="18"/>
  <c r="E23" i="18" s="1"/>
  <c r="G22" i="18"/>
  <c r="F22" i="18"/>
  <c r="D22" i="18"/>
  <c r="E22" i="18" s="1"/>
  <c r="G21" i="18"/>
  <c r="F21" i="18"/>
  <c r="D21" i="18"/>
  <c r="E21" i="18" s="1"/>
  <c r="G20" i="18"/>
  <c r="F20" i="18"/>
  <c r="D20" i="18"/>
  <c r="E20" i="18" s="1"/>
  <c r="G19" i="18"/>
  <c r="F19" i="18"/>
  <c r="D19" i="18"/>
  <c r="E19" i="18" s="1"/>
  <c r="G18" i="18"/>
  <c r="F18" i="18"/>
  <c r="D18" i="18"/>
  <c r="E18" i="18" s="1"/>
  <c r="G17" i="18"/>
  <c r="F17" i="18"/>
  <c r="D17" i="18"/>
  <c r="E17" i="18" s="1"/>
  <c r="G16" i="18"/>
  <c r="F16" i="18"/>
  <c r="D16" i="18"/>
  <c r="E16" i="18" s="1"/>
  <c r="G15" i="18"/>
  <c r="F15" i="18"/>
  <c r="D15" i="18"/>
  <c r="E15" i="18" s="1"/>
  <c r="G14" i="18"/>
  <c r="F14" i="18"/>
  <c r="D14" i="18"/>
  <c r="E14" i="18" s="1"/>
  <c r="G13" i="18"/>
  <c r="F13" i="18"/>
  <c r="D13" i="18"/>
  <c r="E13" i="18" s="1"/>
  <c r="G12" i="18"/>
  <c r="F12" i="18"/>
  <c r="D12" i="18"/>
  <c r="E12" i="18" s="1"/>
  <c r="G11" i="18"/>
  <c r="F11" i="18"/>
  <c r="D11" i="18"/>
  <c r="E11" i="18" s="1"/>
  <c r="G10" i="18"/>
  <c r="F10" i="18"/>
  <c r="D10" i="18"/>
  <c r="E10" i="18" s="1"/>
  <c r="G9" i="18"/>
  <c r="F9" i="18"/>
  <c r="D9" i="18"/>
  <c r="E9" i="18" s="1"/>
  <c r="G8" i="18"/>
  <c r="F8" i="18"/>
  <c r="D8" i="18"/>
  <c r="E8" i="18" s="1"/>
  <c r="G7" i="18"/>
  <c r="F7" i="18"/>
  <c r="D7" i="18"/>
  <c r="E7" i="18" s="1"/>
  <c r="G6" i="18"/>
  <c r="F6" i="18"/>
  <c r="D6" i="18"/>
  <c r="E6" i="18" s="1"/>
  <c r="G5" i="18"/>
  <c r="F5" i="18"/>
  <c r="D5" i="18"/>
  <c r="E5" i="18" s="1"/>
  <c r="G4" i="18"/>
  <c r="F4" i="18"/>
  <c r="D4" i="18"/>
  <c r="E4" i="18" s="1"/>
  <c r="G3" i="18"/>
  <c r="F3" i="18"/>
  <c r="D3" i="18"/>
  <c r="E3" i="18" s="1"/>
  <c r="G2" i="18"/>
  <c r="F2" i="18"/>
  <c r="D2" i="18"/>
  <c r="E2" i="18" s="1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J24" i="17" s="1"/>
  <c r="K24" i="17" s="1"/>
  <c r="I25" i="17"/>
  <c r="I2" i="17"/>
  <c r="D23" i="17"/>
  <c r="E23" i="17"/>
  <c r="F23" i="17"/>
  <c r="G23" i="17"/>
  <c r="H23" i="17" s="1"/>
  <c r="J23" i="17" s="1"/>
  <c r="K23" i="17" s="1"/>
  <c r="D24" i="17"/>
  <c r="E24" i="17"/>
  <c r="F24" i="17"/>
  <c r="G24" i="17"/>
  <c r="H25" i="17" s="1"/>
  <c r="H24" i="17"/>
  <c r="D25" i="17"/>
  <c r="E25" i="17" s="1"/>
  <c r="F25" i="17"/>
  <c r="G25" i="17"/>
  <c r="C35" i="17"/>
  <c r="G22" i="17"/>
  <c r="F22" i="17"/>
  <c r="D22" i="17"/>
  <c r="E22" i="17" s="1"/>
  <c r="G21" i="17"/>
  <c r="F21" i="17"/>
  <c r="D21" i="17"/>
  <c r="E21" i="17" s="1"/>
  <c r="G20" i="17"/>
  <c r="F20" i="17"/>
  <c r="D20" i="17"/>
  <c r="E20" i="17" s="1"/>
  <c r="G19" i="17"/>
  <c r="F19" i="17"/>
  <c r="D19" i="17"/>
  <c r="E19" i="17" s="1"/>
  <c r="G18" i="17"/>
  <c r="F18" i="17"/>
  <c r="D18" i="17"/>
  <c r="E18" i="17" s="1"/>
  <c r="G17" i="17"/>
  <c r="F17" i="17"/>
  <c r="D17" i="17"/>
  <c r="E17" i="17" s="1"/>
  <c r="G16" i="17"/>
  <c r="F16" i="17"/>
  <c r="D16" i="17"/>
  <c r="E16" i="17" s="1"/>
  <c r="G15" i="17"/>
  <c r="F15" i="17"/>
  <c r="D15" i="17"/>
  <c r="E15" i="17" s="1"/>
  <c r="G14" i="17"/>
  <c r="F14" i="17"/>
  <c r="D14" i="17"/>
  <c r="E14" i="17" s="1"/>
  <c r="G13" i="17"/>
  <c r="F13" i="17"/>
  <c r="D13" i="17"/>
  <c r="E13" i="17" s="1"/>
  <c r="G12" i="17"/>
  <c r="F12" i="17"/>
  <c r="D12" i="17"/>
  <c r="E12" i="17" s="1"/>
  <c r="G11" i="17"/>
  <c r="F11" i="17"/>
  <c r="D11" i="17"/>
  <c r="E11" i="17" s="1"/>
  <c r="G10" i="17"/>
  <c r="F10" i="17"/>
  <c r="D10" i="17"/>
  <c r="E10" i="17" s="1"/>
  <c r="G9" i="17"/>
  <c r="F9" i="17"/>
  <c r="D9" i="17"/>
  <c r="E9" i="17" s="1"/>
  <c r="G8" i="17"/>
  <c r="F8" i="17"/>
  <c r="D8" i="17"/>
  <c r="E8" i="17" s="1"/>
  <c r="G7" i="17"/>
  <c r="F7" i="17"/>
  <c r="D7" i="17"/>
  <c r="E7" i="17" s="1"/>
  <c r="G6" i="17"/>
  <c r="F6" i="17"/>
  <c r="D6" i="17"/>
  <c r="E6" i="17" s="1"/>
  <c r="G5" i="17"/>
  <c r="F5" i="17"/>
  <c r="D5" i="17"/>
  <c r="E5" i="17" s="1"/>
  <c r="G4" i="17"/>
  <c r="F4" i="17"/>
  <c r="D4" i="17"/>
  <c r="E4" i="17" s="1"/>
  <c r="G3" i="17"/>
  <c r="F3" i="17"/>
  <c r="D3" i="17"/>
  <c r="E3" i="17" s="1"/>
  <c r="G2" i="17"/>
  <c r="F2" i="17"/>
  <c r="D2" i="17"/>
  <c r="E2" i="17" s="1"/>
  <c r="C35" i="16"/>
  <c r="G22" i="16"/>
  <c r="F22" i="16"/>
  <c r="D22" i="16"/>
  <c r="E22" i="16" s="1"/>
  <c r="G21" i="16"/>
  <c r="F21" i="16"/>
  <c r="D21" i="16"/>
  <c r="E21" i="16" s="1"/>
  <c r="G20" i="16"/>
  <c r="F20" i="16"/>
  <c r="D20" i="16"/>
  <c r="E20" i="16" s="1"/>
  <c r="G19" i="16"/>
  <c r="F19" i="16"/>
  <c r="D19" i="16"/>
  <c r="E19" i="16" s="1"/>
  <c r="G18" i="16"/>
  <c r="F18" i="16"/>
  <c r="D18" i="16"/>
  <c r="E18" i="16" s="1"/>
  <c r="G17" i="16"/>
  <c r="F17" i="16"/>
  <c r="D17" i="16"/>
  <c r="E17" i="16" s="1"/>
  <c r="G16" i="16"/>
  <c r="F16" i="16"/>
  <c r="D16" i="16"/>
  <c r="E16" i="16" s="1"/>
  <c r="G15" i="16"/>
  <c r="F15" i="16"/>
  <c r="D15" i="16"/>
  <c r="E15" i="16" s="1"/>
  <c r="G14" i="16"/>
  <c r="F14" i="16"/>
  <c r="D14" i="16"/>
  <c r="E14" i="16" s="1"/>
  <c r="G13" i="16"/>
  <c r="F13" i="16"/>
  <c r="D13" i="16"/>
  <c r="E13" i="16" s="1"/>
  <c r="G12" i="16"/>
  <c r="F12" i="16"/>
  <c r="D12" i="16"/>
  <c r="E12" i="16" s="1"/>
  <c r="G11" i="16"/>
  <c r="F11" i="16"/>
  <c r="D11" i="16"/>
  <c r="E11" i="16" s="1"/>
  <c r="G10" i="16"/>
  <c r="F10" i="16"/>
  <c r="D10" i="16"/>
  <c r="E10" i="16" s="1"/>
  <c r="G9" i="16"/>
  <c r="F9" i="16"/>
  <c r="D9" i="16"/>
  <c r="E9" i="16" s="1"/>
  <c r="G8" i="16"/>
  <c r="F8" i="16"/>
  <c r="D8" i="16"/>
  <c r="E8" i="16" s="1"/>
  <c r="G7" i="16"/>
  <c r="F7" i="16"/>
  <c r="D7" i="16"/>
  <c r="E7" i="16" s="1"/>
  <c r="G6" i="16"/>
  <c r="F6" i="16"/>
  <c r="D6" i="16"/>
  <c r="E6" i="16" s="1"/>
  <c r="G5" i="16"/>
  <c r="H8" i="16" s="1"/>
  <c r="I8" i="16" s="1"/>
  <c r="J8" i="16" s="1"/>
  <c r="K8" i="16" s="1"/>
  <c r="F5" i="16"/>
  <c r="D5" i="16"/>
  <c r="E5" i="16" s="1"/>
  <c r="G4" i="16"/>
  <c r="F4" i="16"/>
  <c r="D4" i="16"/>
  <c r="E4" i="16" s="1"/>
  <c r="G3" i="16"/>
  <c r="F3" i="16"/>
  <c r="D3" i="16"/>
  <c r="E3" i="16" s="1"/>
  <c r="G2" i="16"/>
  <c r="F2" i="16"/>
  <c r="D2" i="16"/>
  <c r="E2" i="16" s="1"/>
  <c r="C35" i="15"/>
  <c r="G28" i="15"/>
  <c r="F28" i="15"/>
  <c r="D28" i="15"/>
  <c r="E28" i="15" s="1"/>
  <c r="G27" i="15"/>
  <c r="F27" i="15"/>
  <c r="D27" i="15"/>
  <c r="E27" i="15" s="1"/>
  <c r="G26" i="15"/>
  <c r="F26" i="15"/>
  <c r="D26" i="15"/>
  <c r="E26" i="15" s="1"/>
  <c r="G25" i="15"/>
  <c r="F25" i="15"/>
  <c r="D25" i="15"/>
  <c r="E25" i="15" s="1"/>
  <c r="G24" i="15"/>
  <c r="F24" i="15"/>
  <c r="D24" i="15"/>
  <c r="E24" i="15" s="1"/>
  <c r="G23" i="15"/>
  <c r="F23" i="15"/>
  <c r="D23" i="15"/>
  <c r="E23" i="15" s="1"/>
  <c r="G22" i="15"/>
  <c r="F22" i="15"/>
  <c r="D22" i="15"/>
  <c r="E22" i="15" s="1"/>
  <c r="G21" i="15"/>
  <c r="F21" i="15"/>
  <c r="D21" i="15"/>
  <c r="E21" i="15" s="1"/>
  <c r="G20" i="15"/>
  <c r="F20" i="15"/>
  <c r="D20" i="15"/>
  <c r="E20" i="15" s="1"/>
  <c r="G19" i="15"/>
  <c r="F19" i="15"/>
  <c r="D19" i="15"/>
  <c r="E19" i="15" s="1"/>
  <c r="G18" i="15"/>
  <c r="F18" i="15"/>
  <c r="D18" i="15"/>
  <c r="E18" i="15" s="1"/>
  <c r="G17" i="15"/>
  <c r="F17" i="15"/>
  <c r="D17" i="15"/>
  <c r="E17" i="15" s="1"/>
  <c r="G16" i="15"/>
  <c r="F16" i="15"/>
  <c r="D16" i="15"/>
  <c r="E16" i="15" s="1"/>
  <c r="G15" i="15"/>
  <c r="F15" i="15"/>
  <c r="D15" i="15"/>
  <c r="E15" i="15" s="1"/>
  <c r="G14" i="15"/>
  <c r="F14" i="15"/>
  <c r="D14" i="15"/>
  <c r="E14" i="15" s="1"/>
  <c r="G13" i="15"/>
  <c r="F13" i="15"/>
  <c r="D13" i="15"/>
  <c r="E13" i="15" s="1"/>
  <c r="G12" i="15"/>
  <c r="F12" i="15"/>
  <c r="D12" i="15"/>
  <c r="E12" i="15" s="1"/>
  <c r="G11" i="15"/>
  <c r="F11" i="15"/>
  <c r="D11" i="15"/>
  <c r="E11" i="15" s="1"/>
  <c r="G10" i="15"/>
  <c r="F10" i="15"/>
  <c r="D10" i="15"/>
  <c r="E10" i="15" s="1"/>
  <c r="G9" i="15"/>
  <c r="F9" i="15"/>
  <c r="D9" i="15"/>
  <c r="E9" i="15" s="1"/>
  <c r="G8" i="15"/>
  <c r="F8" i="15"/>
  <c r="D8" i="15"/>
  <c r="E8" i="15" s="1"/>
  <c r="G7" i="15"/>
  <c r="F7" i="15"/>
  <c r="D7" i="15"/>
  <c r="E7" i="15" s="1"/>
  <c r="G6" i="15"/>
  <c r="F6" i="15"/>
  <c r="D6" i="15"/>
  <c r="E6" i="15" s="1"/>
  <c r="G5" i="15"/>
  <c r="F5" i="15"/>
  <c r="D5" i="15"/>
  <c r="E5" i="15" s="1"/>
  <c r="G4" i="15"/>
  <c r="F4" i="15"/>
  <c r="D4" i="15"/>
  <c r="E4" i="15" s="1"/>
  <c r="G3" i="15"/>
  <c r="F3" i="15"/>
  <c r="D3" i="15"/>
  <c r="E3" i="15" s="1"/>
  <c r="G2" i="15"/>
  <c r="F2" i="15"/>
  <c r="D2" i="15"/>
  <c r="E2" i="15" s="1"/>
  <c r="C35" i="14"/>
  <c r="G22" i="14"/>
  <c r="F22" i="14"/>
  <c r="D22" i="14"/>
  <c r="E22" i="14" s="1"/>
  <c r="G21" i="14"/>
  <c r="F21" i="14"/>
  <c r="D21" i="14"/>
  <c r="E21" i="14" s="1"/>
  <c r="G20" i="14"/>
  <c r="F20" i="14"/>
  <c r="D20" i="14"/>
  <c r="E20" i="14" s="1"/>
  <c r="G19" i="14"/>
  <c r="F19" i="14"/>
  <c r="D19" i="14"/>
  <c r="E19" i="14" s="1"/>
  <c r="G18" i="14"/>
  <c r="F18" i="14"/>
  <c r="D18" i="14"/>
  <c r="E18" i="14" s="1"/>
  <c r="G17" i="14"/>
  <c r="F17" i="14"/>
  <c r="D17" i="14"/>
  <c r="E17" i="14" s="1"/>
  <c r="G16" i="14"/>
  <c r="F16" i="14"/>
  <c r="D16" i="14"/>
  <c r="E16" i="14" s="1"/>
  <c r="G15" i="14"/>
  <c r="F15" i="14"/>
  <c r="D15" i="14"/>
  <c r="E15" i="14" s="1"/>
  <c r="G14" i="14"/>
  <c r="F14" i="14"/>
  <c r="D14" i="14"/>
  <c r="E14" i="14" s="1"/>
  <c r="G13" i="14"/>
  <c r="F13" i="14"/>
  <c r="D13" i="14"/>
  <c r="E13" i="14" s="1"/>
  <c r="G12" i="14"/>
  <c r="F12" i="14"/>
  <c r="D12" i="14"/>
  <c r="E12" i="14" s="1"/>
  <c r="G11" i="14"/>
  <c r="F11" i="14"/>
  <c r="D11" i="14"/>
  <c r="E11" i="14" s="1"/>
  <c r="G10" i="14"/>
  <c r="F10" i="14"/>
  <c r="D10" i="14"/>
  <c r="E10" i="14" s="1"/>
  <c r="G9" i="14"/>
  <c r="F9" i="14"/>
  <c r="D9" i="14"/>
  <c r="E9" i="14" s="1"/>
  <c r="G8" i="14"/>
  <c r="F8" i="14"/>
  <c r="D8" i="14"/>
  <c r="E8" i="14" s="1"/>
  <c r="G7" i="14"/>
  <c r="F7" i="14"/>
  <c r="D7" i="14"/>
  <c r="E7" i="14" s="1"/>
  <c r="G6" i="14"/>
  <c r="F6" i="14"/>
  <c r="D6" i="14"/>
  <c r="E6" i="14" s="1"/>
  <c r="G5" i="14"/>
  <c r="F5" i="14"/>
  <c r="D5" i="14"/>
  <c r="E5" i="14" s="1"/>
  <c r="G4" i="14"/>
  <c r="F4" i="14"/>
  <c r="D4" i="14"/>
  <c r="E4" i="14" s="1"/>
  <c r="G3" i="14"/>
  <c r="F3" i="14"/>
  <c r="D3" i="14"/>
  <c r="E3" i="14" s="1"/>
  <c r="G2" i="14"/>
  <c r="F2" i="14"/>
  <c r="D2" i="14"/>
  <c r="E2" i="14" s="1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" i="13"/>
  <c r="C35" i="13"/>
  <c r="G28" i="13"/>
  <c r="F28" i="13"/>
  <c r="D28" i="13"/>
  <c r="E28" i="13" s="1"/>
  <c r="G27" i="13"/>
  <c r="F27" i="13"/>
  <c r="D27" i="13"/>
  <c r="E27" i="13" s="1"/>
  <c r="G26" i="13"/>
  <c r="F26" i="13"/>
  <c r="D26" i="13"/>
  <c r="E26" i="13" s="1"/>
  <c r="G25" i="13"/>
  <c r="F25" i="13"/>
  <c r="D25" i="13"/>
  <c r="E25" i="13" s="1"/>
  <c r="G24" i="13"/>
  <c r="F24" i="13"/>
  <c r="D24" i="13"/>
  <c r="E24" i="13" s="1"/>
  <c r="G23" i="13"/>
  <c r="F23" i="13"/>
  <c r="D23" i="13"/>
  <c r="E23" i="13" s="1"/>
  <c r="G22" i="13"/>
  <c r="F22" i="13"/>
  <c r="D22" i="13"/>
  <c r="E22" i="13" s="1"/>
  <c r="G21" i="13"/>
  <c r="F21" i="13"/>
  <c r="D21" i="13"/>
  <c r="E21" i="13" s="1"/>
  <c r="G20" i="13"/>
  <c r="F20" i="13"/>
  <c r="D20" i="13"/>
  <c r="E20" i="13" s="1"/>
  <c r="G19" i="13"/>
  <c r="F19" i="13"/>
  <c r="D19" i="13"/>
  <c r="E19" i="13" s="1"/>
  <c r="G18" i="13"/>
  <c r="F18" i="13"/>
  <c r="D18" i="13"/>
  <c r="E18" i="13" s="1"/>
  <c r="G17" i="13"/>
  <c r="F17" i="13"/>
  <c r="D17" i="13"/>
  <c r="E17" i="13" s="1"/>
  <c r="G16" i="13"/>
  <c r="F16" i="13"/>
  <c r="E16" i="13"/>
  <c r="D16" i="13"/>
  <c r="G15" i="13"/>
  <c r="F15" i="13"/>
  <c r="D15" i="13"/>
  <c r="E15" i="13" s="1"/>
  <c r="G14" i="13"/>
  <c r="F14" i="13"/>
  <c r="D14" i="13"/>
  <c r="E14" i="13" s="1"/>
  <c r="G13" i="13"/>
  <c r="F13" i="13"/>
  <c r="D13" i="13"/>
  <c r="E13" i="13" s="1"/>
  <c r="G12" i="13"/>
  <c r="F12" i="13"/>
  <c r="D12" i="13"/>
  <c r="E12" i="13" s="1"/>
  <c r="G11" i="13"/>
  <c r="F11" i="13"/>
  <c r="D11" i="13"/>
  <c r="E11" i="13" s="1"/>
  <c r="G10" i="13"/>
  <c r="F10" i="13"/>
  <c r="D10" i="13"/>
  <c r="E10" i="13" s="1"/>
  <c r="G9" i="13"/>
  <c r="F9" i="13"/>
  <c r="D9" i="13"/>
  <c r="E9" i="13" s="1"/>
  <c r="G8" i="13"/>
  <c r="F8" i="13"/>
  <c r="D8" i="13"/>
  <c r="E8" i="13" s="1"/>
  <c r="G7" i="13"/>
  <c r="F7" i="13"/>
  <c r="D7" i="13"/>
  <c r="E7" i="13" s="1"/>
  <c r="G6" i="13"/>
  <c r="F6" i="13"/>
  <c r="D6" i="13"/>
  <c r="E6" i="13" s="1"/>
  <c r="G5" i="13"/>
  <c r="F5" i="13"/>
  <c r="D5" i="13"/>
  <c r="E5" i="13" s="1"/>
  <c r="G4" i="13"/>
  <c r="F4" i="13"/>
  <c r="D4" i="13"/>
  <c r="E4" i="13" s="1"/>
  <c r="G3" i="13"/>
  <c r="H6" i="13" s="1"/>
  <c r="F3" i="13"/>
  <c r="E3" i="13"/>
  <c r="D3" i="13"/>
  <c r="G2" i="13"/>
  <c r="H2" i="13" s="1"/>
  <c r="F2" i="13"/>
  <c r="D2" i="13"/>
  <c r="E2" i="13" s="1"/>
  <c r="C35" i="12"/>
  <c r="G29" i="12"/>
  <c r="F29" i="12"/>
  <c r="D29" i="12"/>
  <c r="E29" i="12" s="1"/>
  <c r="G28" i="12"/>
  <c r="F28" i="12"/>
  <c r="D28" i="12"/>
  <c r="E28" i="12" s="1"/>
  <c r="G27" i="12"/>
  <c r="F27" i="12"/>
  <c r="D27" i="12"/>
  <c r="E27" i="12" s="1"/>
  <c r="G26" i="12"/>
  <c r="F26" i="12"/>
  <c r="D26" i="12"/>
  <c r="E26" i="12" s="1"/>
  <c r="G25" i="12"/>
  <c r="F25" i="12"/>
  <c r="D25" i="12"/>
  <c r="E25" i="12" s="1"/>
  <c r="G24" i="12"/>
  <c r="F24" i="12"/>
  <c r="D24" i="12"/>
  <c r="E24" i="12" s="1"/>
  <c r="G23" i="12"/>
  <c r="F23" i="12"/>
  <c r="D23" i="12"/>
  <c r="E23" i="12" s="1"/>
  <c r="G22" i="12"/>
  <c r="F22" i="12"/>
  <c r="D22" i="12"/>
  <c r="E22" i="12" s="1"/>
  <c r="G21" i="12"/>
  <c r="F21" i="12"/>
  <c r="D21" i="12"/>
  <c r="E21" i="12" s="1"/>
  <c r="G20" i="12"/>
  <c r="F20" i="12"/>
  <c r="D20" i="12"/>
  <c r="E20" i="12" s="1"/>
  <c r="G19" i="12"/>
  <c r="F19" i="12"/>
  <c r="D19" i="12"/>
  <c r="E19" i="12" s="1"/>
  <c r="G18" i="12"/>
  <c r="F18" i="12"/>
  <c r="D18" i="12"/>
  <c r="E18" i="12" s="1"/>
  <c r="G17" i="12"/>
  <c r="F17" i="12"/>
  <c r="D17" i="12"/>
  <c r="E17" i="12" s="1"/>
  <c r="G16" i="12"/>
  <c r="F16" i="12"/>
  <c r="D16" i="12"/>
  <c r="E16" i="12" s="1"/>
  <c r="G15" i="12"/>
  <c r="F15" i="12"/>
  <c r="D15" i="12"/>
  <c r="E15" i="12" s="1"/>
  <c r="G14" i="12"/>
  <c r="F14" i="12"/>
  <c r="D14" i="12"/>
  <c r="E14" i="12" s="1"/>
  <c r="G13" i="12"/>
  <c r="F13" i="12"/>
  <c r="D13" i="12"/>
  <c r="E13" i="12" s="1"/>
  <c r="G12" i="12"/>
  <c r="F12" i="12"/>
  <c r="D12" i="12"/>
  <c r="E12" i="12" s="1"/>
  <c r="G11" i="12"/>
  <c r="F11" i="12"/>
  <c r="D11" i="12"/>
  <c r="E11" i="12" s="1"/>
  <c r="G10" i="12"/>
  <c r="F10" i="12"/>
  <c r="D10" i="12"/>
  <c r="E10" i="12" s="1"/>
  <c r="G9" i="12"/>
  <c r="F9" i="12"/>
  <c r="D9" i="12"/>
  <c r="E9" i="12" s="1"/>
  <c r="G8" i="12"/>
  <c r="F8" i="12"/>
  <c r="D8" i="12"/>
  <c r="E8" i="12" s="1"/>
  <c r="G7" i="12"/>
  <c r="F7" i="12"/>
  <c r="D7" i="12"/>
  <c r="E7" i="12" s="1"/>
  <c r="G6" i="12"/>
  <c r="F6" i="12"/>
  <c r="D6" i="12"/>
  <c r="E6" i="12" s="1"/>
  <c r="G5" i="12"/>
  <c r="F5" i="12"/>
  <c r="D5" i="12"/>
  <c r="E5" i="12" s="1"/>
  <c r="G4" i="12"/>
  <c r="F4" i="12"/>
  <c r="D4" i="12"/>
  <c r="E4" i="12" s="1"/>
  <c r="G3" i="12"/>
  <c r="F3" i="12"/>
  <c r="D3" i="12"/>
  <c r="E3" i="12" s="1"/>
  <c r="G2" i="12"/>
  <c r="H27" i="12" s="1"/>
  <c r="I27" i="12" s="1"/>
  <c r="J27" i="12" s="1"/>
  <c r="K27" i="12" s="1"/>
  <c r="F2" i="12"/>
  <c r="D2" i="12"/>
  <c r="E2" i="12" s="1"/>
  <c r="D28" i="11"/>
  <c r="E28" i="11"/>
  <c r="F28" i="11"/>
  <c r="G28" i="11"/>
  <c r="H28" i="11" s="1"/>
  <c r="I28" i="11" s="1"/>
  <c r="J28" i="11" s="1"/>
  <c r="K28" i="11" s="1"/>
  <c r="D29" i="11"/>
  <c r="E29" i="11" s="1"/>
  <c r="F29" i="11"/>
  <c r="G29" i="11"/>
  <c r="H29" i="11" s="1"/>
  <c r="I29" i="11" s="1"/>
  <c r="J29" i="11" s="1"/>
  <c r="K29" i="11" s="1"/>
  <c r="C35" i="11"/>
  <c r="G27" i="11"/>
  <c r="F27" i="11"/>
  <c r="D27" i="11"/>
  <c r="E27" i="11" s="1"/>
  <c r="G26" i="11"/>
  <c r="F26" i="11"/>
  <c r="D26" i="11"/>
  <c r="E26" i="11" s="1"/>
  <c r="G25" i="11"/>
  <c r="F25" i="11"/>
  <c r="D25" i="11"/>
  <c r="E25" i="11" s="1"/>
  <c r="G24" i="11"/>
  <c r="F24" i="11"/>
  <c r="D24" i="11"/>
  <c r="E24" i="11" s="1"/>
  <c r="G23" i="11"/>
  <c r="F23" i="11"/>
  <c r="D23" i="11"/>
  <c r="E23" i="11" s="1"/>
  <c r="G22" i="11"/>
  <c r="F22" i="11"/>
  <c r="D22" i="11"/>
  <c r="E22" i="11" s="1"/>
  <c r="G21" i="11"/>
  <c r="F21" i="11"/>
  <c r="D21" i="11"/>
  <c r="E21" i="11" s="1"/>
  <c r="G20" i="11"/>
  <c r="F20" i="11"/>
  <c r="D20" i="11"/>
  <c r="E20" i="11" s="1"/>
  <c r="G19" i="11"/>
  <c r="F19" i="11"/>
  <c r="D19" i="11"/>
  <c r="E19" i="11" s="1"/>
  <c r="G18" i="11"/>
  <c r="F18" i="11"/>
  <c r="D18" i="11"/>
  <c r="E18" i="11" s="1"/>
  <c r="G17" i="11"/>
  <c r="F17" i="11"/>
  <c r="D17" i="11"/>
  <c r="E17" i="11" s="1"/>
  <c r="G16" i="11"/>
  <c r="F16" i="11"/>
  <c r="D16" i="11"/>
  <c r="E16" i="11" s="1"/>
  <c r="G15" i="11"/>
  <c r="F15" i="11"/>
  <c r="D15" i="11"/>
  <c r="E15" i="11" s="1"/>
  <c r="G14" i="11"/>
  <c r="F14" i="11"/>
  <c r="D14" i="11"/>
  <c r="E14" i="11" s="1"/>
  <c r="G13" i="11"/>
  <c r="F13" i="11"/>
  <c r="D13" i="11"/>
  <c r="E13" i="11" s="1"/>
  <c r="G12" i="11"/>
  <c r="F12" i="11"/>
  <c r="D12" i="11"/>
  <c r="E12" i="11" s="1"/>
  <c r="G11" i="11"/>
  <c r="F11" i="11"/>
  <c r="D11" i="11"/>
  <c r="E11" i="11" s="1"/>
  <c r="G10" i="11"/>
  <c r="F10" i="11"/>
  <c r="D10" i="11"/>
  <c r="E10" i="11" s="1"/>
  <c r="G9" i="11"/>
  <c r="F9" i="11"/>
  <c r="D9" i="11"/>
  <c r="E9" i="11" s="1"/>
  <c r="G8" i="11"/>
  <c r="F8" i="11"/>
  <c r="D8" i="11"/>
  <c r="E8" i="11" s="1"/>
  <c r="G7" i="11"/>
  <c r="F7" i="11"/>
  <c r="D7" i="11"/>
  <c r="E7" i="11" s="1"/>
  <c r="G6" i="11"/>
  <c r="F6" i="11"/>
  <c r="D6" i="11"/>
  <c r="E6" i="11" s="1"/>
  <c r="G5" i="11"/>
  <c r="F5" i="11"/>
  <c r="D5" i="11"/>
  <c r="E5" i="11" s="1"/>
  <c r="G4" i="11"/>
  <c r="F4" i="11"/>
  <c r="D4" i="11"/>
  <c r="E4" i="11" s="1"/>
  <c r="G3" i="11"/>
  <c r="F3" i="11"/>
  <c r="D3" i="11"/>
  <c r="E3" i="11" s="1"/>
  <c r="G2" i="11"/>
  <c r="F2" i="11"/>
  <c r="D2" i="11"/>
  <c r="E2" i="11" s="1"/>
  <c r="C35" i="10"/>
  <c r="G27" i="10"/>
  <c r="F27" i="10"/>
  <c r="D27" i="10"/>
  <c r="E27" i="10" s="1"/>
  <c r="G26" i="10"/>
  <c r="F26" i="10"/>
  <c r="D26" i="10"/>
  <c r="E26" i="10" s="1"/>
  <c r="G25" i="10"/>
  <c r="F25" i="10"/>
  <c r="D25" i="10"/>
  <c r="E25" i="10" s="1"/>
  <c r="G24" i="10"/>
  <c r="F24" i="10"/>
  <c r="D24" i="10"/>
  <c r="E24" i="10" s="1"/>
  <c r="G23" i="10"/>
  <c r="F23" i="10"/>
  <c r="D23" i="10"/>
  <c r="E23" i="10" s="1"/>
  <c r="G22" i="10"/>
  <c r="F22" i="10"/>
  <c r="D22" i="10"/>
  <c r="E22" i="10" s="1"/>
  <c r="G21" i="10"/>
  <c r="F21" i="10"/>
  <c r="D21" i="10"/>
  <c r="E21" i="10" s="1"/>
  <c r="G20" i="10"/>
  <c r="F20" i="10"/>
  <c r="D20" i="10"/>
  <c r="E20" i="10" s="1"/>
  <c r="G19" i="10"/>
  <c r="F19" i="10"/>
  <c r="E19" i="10"/>
  <c r="D19" i="10"/>
  <c r="G18" i="10"/>
  <c r="F18" i="10"/>
  <c r="D18" i="10"/>
  <c r="E18" i="10" s="1"/>
  <c r="G17" i="10"/>
  <c r="F17" i="10"/>
  <c r="D17" i="10"/>
  <c r="E17" i="10" s="1"/>
  <c r="G16" i="10"/>
  <c r="F16" i="10"/>
  <c r="D16" i="10"/>
  <c r="E16" i="10" s="1"/>
  <c r="G15" i="10"/>
  <c r="F15" i="10"/>
  <c r="D15" i="10"/>
  <c r="E15" i="10" s="1"/>
  <c r="G14" i="10"/>
  <c r="F14" i="10"/>
  <c r="D14" i="10"/>
  <c r="E14" i="10" s="1"/>
  <c r="G13" i="10"/>
  <c r="F13" i="10"/>
  <c r="D13" i="10"/>
  <c r="E13" i="10" s="1"/>
  <c r="G12" i="10"/>
  <c r="F12" i="10"/>
  <c r="D12" i="10"/>
  <c r="E12" i="10" s="1"/>
  <c r="G11" i="10"/>
  <c r="F11" i="10"/>
  <c r="D11" i="10"/>
  <c r="E11" i="10" s="1"/>
  <c r="G10" i="10"/>
  <c r="F10" i="10"/>
  <c r="D10" i="10"/>
  <c r="E10" i="10" s="1"/>
  <c r="G9" i="10"/>
  <c r="F9" i="10"/>
  <c r="D9" i="10"/>
  <c r="E9" i="10" s="1"/>
  <c r="G8" i="10"/>
  <c r="F8" i="10"/>
  <c r="D8" i="10"/>
  <c r="E8" i="10" s="1"/>
  <c r="G7" i="10"/>
  <c r="F7" i="10"/>
  <c r="D7" i="10"/>
  <c r="E7" i="10" s="1"/>
  <c r="G6" i="10"/>
  <c r="F6" i="10"/>
  <c r="D6" i="10"/>
  <c r="E6" i="10" s="1"/>
  <c r="G5" i="10"/>
  <c r="F5" i="10"/>
  <c r="D5" i="10"/>
  <c r="E5" i="10" s="1"/>
  <c r="G4" i="10"/>
  <c r="F4" i="10"/>
  <c r="D4" i="10"/>
  <c r="E4" i="10" s="1"/>
  <c r="G3" i="10"/>
  <c r="F3" i="10"/>
  <c r="D3" i="10"/>
  <c r="E3" i="10" s="1"/>
  <c r="G2" i="10"/>
  <c r="H22" i="10" s="1"/>
  <c r="I22" i="10" s="1"/>
  <c r="J22" i="10" s="1"/>
  <c r="K22" i="10" s="1"/>
  <c r="F2" i="10"/>
  <c r="D2" i="10"/>
  <c r="E2" i="10" s="1"/>
  <c r="D27" i="9"/>
  <c r="E27" i="9" s="1"/>
  <c r="F27" i="9"/>
  <c r="G27" i="9"/>
  <c r="D28" i="9"/>
  <c r="E28" i="9"/>
  <c r="F28" i="9"/>
  <c r="G28" i="9"/>
  <c r="C35" i="9"/>
  <c r="G26" i="9"/>
  <c r="F26" i="9"/>
  <c r="D26" i="9"/>
  <c r="E26" i="9" s="1"/>
  <c r="G25" i="9"/>
  <c r="F25" i="9"/>
  <c r="D25" i="9"/>
  <c r="E25" i="9" s="1"/>
  <c r="G24" i="9"/>
  <c r="F24" i="9"/>
  <c r="D24" i="9"/>
  <c r="E24" i="9" s="1"/>
  <c r="G23" i="9"/>
  <c r="F23" i="9"/>
  <c r="D23" i="9"/>
  <c r="E23" i="9" s="1"/>
  <c r="G22" i="9"/>
  <c r="F22" i="9"/>
  <c r="D22" i="9"/>
  <c r="E22" i="9" s="1"/>
  <c r="G21" i="9"/>
  <c r="F21" i="9"/>
  <c r="D21" i="9"/>
  <c r="E21" i="9" s="1"/>
  <c r="G20" i="9"/>
  <c r="F20" i="9"/>
  <c r="D20" i="9"/>
  <c r="E20" i="9" s="1"/>
  <c r="G19" i="9"/>
  <c r="F19" i="9"/>
  <c r="D19" i="9"/>
  <c r="E19" i="9" s="1"/>
  <c r="G18" i="9"/>
  <c r="F18" i="9"/>
  <c r="D18" i="9"/>
  <c r="E18" i="9" s="1"/>
  <c r="G17" i="9"/>
  <c r="F17" i="9"/>
  <c r="D17" i="9"/>
  <c r="E17" i="9" s="1"/>
  <c r="G16" i="9"/>
  <c r="F16" i="9"/>
  <c r="D16" i="9"/>
  <c r="E16" i="9" s="1"/>
  <c r="G15" i="9"/>
  <c r="F15" i="9"/>
  <c r="D15" i="9"/>
  <c r="E15" i="9" s="1"/>
  <c r="G14" i="9"/>
  <c r="F14" i="9"/>
  <c r="D14" i="9"/>
  <c r="E14" i="9" s="1"/>
  <c r="G13" i="9"/>
  <c r="F13" i="9"/>
  <c r="D13" i="9"/>
  <c r="E13" i="9" s="1"/>
  <c r="G12" i="9"/>
  <c r="F12" i="9"/>
  <c r="D12" i="9"/>
  <c r="E12" i="9" s="1"/>
  <c r="G11" i="9"/>
  <c r="F11" i="9"/>
  <c r="D11" i="9"/>
  <c r="E11" i="9" s="1"/>
  <c r="G10" i="9"/>
  <c r="F10" i="9"/>
  <c r="D10" i="9"/>
  <c r="E10" i="9" s="1"/>
  <c r="G9" i="9"/>
  <c r="F9" i="9"/>
  <c r="D9" i="9"/>
  <c r="E9" i="9" s="1"/>
  <c r="G8" i="9"/>
  <c r="F8" i="9"/>
  <c r="D8" i="9"/>
  <c r="E8" i="9" s="1"/>
  <c r="G7" i="9"/>
  <c r="F7" i="9"/>
  <c r="D7" i="9"/>
  <c r="E7" i="9" s="1"/>
  <c r="G6" i="9"/>
  <c r="F6" i="9"/>
  <c r="D6" i="9"/>
  <c r="E6" i="9" s="1"/>
  <c r="G5" i="9"/>
  <c r="F5" i="9"/>
  <c r="D5" i="9"/>
  <c r="E5" i="9" s="1"/>
  <c r="G4" i="9"/>
  <c r="F4" i="9"/>
  <c r="D4" i="9"/>
  <c r="E4" i="9" s="1"/>
  <c r="G3" i="9"/>
  <c r="H12" i="9" s="1"/>
  <c r="I12" i="9" s="1"/>
  <c r="F3" i="9"/>
  <c r="D3" i="9"/>
  <c r="E3" i="9" s="1"/>
  <c r="G2" i="9"/>
  <c r="F2" i="9"/>
  <c r="D2" i="9"/>
  <c r="E2" i="9" s="1"/>
  <c r="C35" i="8"/>
  <c r="G26" i="8"/>
  <c r="F26" i="8"/>
  <c r="D26" i="8"/>
  <c r="E26" i="8" s="1"/>
  <c r="G25" i="8"/>
  <c r="F25" i="8"/>
  <c r="D25" i="8"/>
  <c r="E25" i="8" s="1"/>
  <c r="G24" i="8"/>
  <c r="F24" i="8"/>
  <c r="D24" i="8"/>
  <c r="E24" i="8" s="1"/>
  <c r="G23" i="8"/>
  <c r="F23" i="8"/>
  <c r="D23" i="8"/>
  <c r="E23" i="8" s="1"/>
  <c r="G22" i="8"/>
  <c r="F22" i="8"/>
  <c r="D22" i="8"/>
  <c r="E22" i="8" s="1"/>
  <c r="G21" i="8"/>
  <c r="F21" i="8"/>
  <c r="D21" i="8"/>
  <c r="E21" i="8" s="1"/>
  <c r="G20" i="8"/>
  <c r="F20" i="8"/>
  <c r="D20" i="8"/>
  <c r="E20" i="8" s="1"/>
  <c r="G19" i="8"/>
  <c r="F19" i="8"/>
  <c r="D19" i="8"/>
  <c r="E19" i="8" s="1"/>
  <c r="G18" i="8"/>
  <c r="F18" i="8"/>
  <c r="D18" i="8"/>
  <c r="E18" i="8" s="1"/>
  <c r="G17" i="8"/>
  <c r="F17" i="8"/>
  <c r="D17" i="8"/>
  <c r="E17" i="8" s="1"/>
  <c r="G16" i="8"/>
  <c r="F16" i="8"/>
  <c r="D16" i="8"/>
  <c r="E16" i="8" s="1"/>
  <c r="G15" i="8"/>
  <c r="F15" i="8"/>
  <c r="D15" i="8"/>
  <c r="E15" i="8" s="1"/>
  <c r="G14" i="8"/>
  <c r="F14" i="8"/>
  <c r="D14" i="8"/>
  <c r="E14" i="8" s="1"/>
  <c r="G13" i="8"/>
  <c r="F13" i="8"/>
  <c r="D13" i="8"/>
  <c r="E13" i="8" s="1"/>
  <c r="G12" i="8"/>
  <c r="F12" i="8"/>
  <c r="D12" i="8"/>
  <c r="E12" i="8" s="1"/>
  <c r="G11" i="8"/>
  <c r="F11" i="8"/>
  <c r="D11" i="8"/>
  <c r="E11" i="8" s="1"/>
  <c r="G10" i="8"/>
  <c r="F10" i="8"/>
  <c r="D10" i="8"/>
  <c r="E10" i="8" s="1"/>
  <c r="G9" i="8"/>
  <c r="F9" i="8"/>
  <c r="D9" i="8"/>
  <c r="E9" i="8" s="1"/>
  <c r="G8" i="8"/>
  <c r="F8" i="8"/>
  <c r="D8" i="8"/>
  <c r="E8" i="8" s="1"/>
  <c r="G7" i="8"/>
  <c r="F7" i="8"/>
  <c r="D7" i="8"/>
  <c r="E7" i="8" s="1"/>
  <c r="G6" i="8"/>
  <c r="F6" i="8"/>
  <c r="D6" i="8"/>
  <c r="E6" i="8" s="1"/>
  <c r="G5" i="8"/>
  <c r="F5" i="8"/>
  <c r="D5" i="8"/>
  <c r="E5" i="8" s="1"/>
  <c r="G4" i="8"/>
  <c r="F4" i="8"/>
  <c r="D4" i="8"/>
  <c r="E4" i="8" s="1"/>
  <c r="G3" i="8"/>
  <c r="F3" i="8"/>
  <c r="D3" i="8"/>
  <c r="E3" i="8" s="1"/>
  <c r="G2" i="8"/>
  <c r="F2" i="8"/>
  <c r="D2" i="8"/>
  <c r="E2" i="8" s="1"/>
  <c r="C35" i="7"/>
  <c r="G30" i="7"/>
  <c r="F30" i="7"/>
  <c r="D30" i="7"/>
  <c r="E30" i="7" s="1"/>
  <c r="G29" i="7"/>
  <c r="F29" i="7"/>
  <c r="D29" i="7"/>
  <c r="E29" i="7" s="1"/>
  <c r="G28" i="7"/>
  <c r="F28" i="7"/>
  <c r="D28" i="7"/>
  <c r="E28" i="7" s="1"/>
  <c r="G27" i="7"/>
  <c r="F27" i="7"/>
  <c r="D27" i="7"/>
  <c r="E27" i="7" s="1"/>
  <c r="G26" i="7"/>
  <c r="F26" i="7"/>
  <c r="D26" i="7"/>
  <c r="E26" i="7" s="1"/>
  <c r="G25" i="7"/>
  <c r="F25" i="7"/>
  <c r="D25" i="7"/>
  <c r="E25" i="7" s="1"/>
  <c r="G24" i="7"/>
  <c r="F24" i="7"/>
  <c r="D24" i="7"/>
  <c r="E24" i="7" s="1"/>
  <c r="G23" i="7"/>
  <c r="F23" i="7"/>
  <c r="D23" i="7"/>
  <c r="E23" i="7" s="1"/>
  <c r="G22" i="7"/>
  <c r="F22" i="7"/>
  <c r="D22" i="7"/>
  <c r="E22" i="7" s="1"/>
  <c r="G21" i="7"/>
  <c r="F21" i="7"/>
  <c r="D21" i="7"/>
  <c r="E21" i="7" s="1"/>
  <c r="G20" i="7"/>
  <c r="F20" i="7"/>
  <c r="D20" i="7"/>
  <c r="E20" i="7" s="1"/>
  <c r="G19" i="7"/>
  <c r="F19" i="7"/>
  <c r="D19" i="7"/>
  <c r="E19" i="7" s="1"/>
  <c r="G18" i="7"/>
  <c r="F18" i="7"/>
  <c r="D18" i="7"/>
  <c r="E18" i="7" s="1"/>
  <c r="G17" i="7"/>
  <c r="F17" i="7"/>
  <c r="D17" i="7"/>
  <c r="E17" i="7" s="1"/>
  <c r="G16" i="7"/>
  <c r="F16" i="7"/>
  <c r="D16" i="7"/>
  <c r="E16" i="7" s="1"/>
  <c r="G15" i="7"/>
  <c r="F15" i="7"/>
  <c r="D15" i="7"/>
  <c r="E15" i="7" s="1"/>
  <c r="G14" i="7"/>
  <c r="F14" i="7"/>
  <c r="D14" i="7"/>
  <c r="E14" i="7" s="1"/>
  <c r="G13" i="7"/>
  <c r="F13" i="7"/>
  <c r="D13" i="7"/>
  <c r="E13" i="7" s="1"/>
  <c r="G12" i="7"/>
  <c r="F12" i="7"/>
  <c r="D12" i="7"/>
  <c r="E12" i="7" s="1"/>
  <c r="G11" i="7"/>
  <c r="F11" i="7"/>
  <c r="D11" i="7"/>
  <c r="E11" i="7" s="1"/>
  <c r="G10" i="7"/>
  <c r="F10" i="7"/>
  <c r="D10" i="7"/>
  <c r="E10" i="7" s="1"/>
  <c r="G9" i="7"/>
  <c r="F9" i="7"/>
  <c r="D9" i="7"/>
  <c r="E9" i="7" s="1"/>
  <c r="G8" i="7"/>
  <c r="F8" i="7"/>
  <c r="D8" i="7"/>
  <c r="E8" i="7" s="1"/>
  <c r="G7" i="7"/>
  <c r="F7" i="7"/>
  <c r="D7" i="7"/>
  <c r="E7" i="7" s="1"/>
  <c r="G6" i="7"/>
  <c r="F6" i="7"/>
  <c r="D6" i="7"/>
  <c r="E6" i="7" s="1"/>
  <c r="G5" i="7"/>
  <c r="F5" i="7"/>
  <c r="D5" i="7"/>
  <c r="E5" i="7" s="1"/>
  <c r="G4" i="7"/>
  <c r="F4" i="7"/>
  <c r="D4" i="7"/>
  <c r="E4" i="7" s="1"/>
  <c r="G3" i="7"/>
  <c r="F3" i="7"/>
  <c r="D3" i="7"/>
  <c r="E3" i="7" s="1"/>
  <c r="G2" i="7"/>
  <c r="F2" i="7"/>
  <c r="D2" i="7"/>
  <c r="E2" i="7" s="1"/>
  <c r="C35" i="6"/>
  <c r="G33" i="6"/>
  <c r="F33" i="6"/>
  <c r="D33" i="6"/>
  <c r="E33" i="6" s="1"/>
  <c r="G32" i="6"/>
  <c r="F32" i="6"/>
  <c r="D32" i="6"/>
  <c r="E32" i="6" s="1"/>
  <c r="G31" i="6"/>
  <c r="F31" i="6"/>
  <c r="D31" i="6"/>
  <c r="E31" i="6" s="1"/>
  <c r="G30" i="6"/>
  <c r="F30" i="6"/>
  <c r="D30" i="6"/>
  <c r="E30" i="6" s="1"/>
  <c r="G29" i="6"/>
  <c r="F29" i="6"/>
  <c r="D29" i="6"/>
  <c r="E29" i="6" s="1"/>
  <c r="G28" i="6"/>
  <c r="F28" i="6"/>
  <c r="D28" i="6"/>
  <c r="E28" i="6" s="1"/>
  <c r="G27" i="6"/>
  <c r="F27" i="6"/>
  <c r="D27" i="6"/>
  <c r="E27" i="6" s="1"/>
  <c r="G26" i="6"/>
  <c r="F26" i="6"/>
  <c r="D26" i="6"/>
  <c r="E26" i="6" s="1"/>
  <c r="G25" i="6"/>
  <c r="F25" i="6"/>
  <c r="D25" i="6"/>
  <c r="E25" i="6" s="1"/>
  <c r="G24" i="6"/>
  <c r="F24" i="6"/>
  <c r="D24" i="6"/>
  <c r="E24" i="6" s="1"/>
  <c r="G23" i="6"/>
  <c r="F23" i="6"/>
  <c r="D23" i="6"/>
  <c r="E23" i="6" s="1"/>
  <c r="G22" i="6"/>
  <c r="F22" i="6"/>
  <c r="D22" i="6"/>
  <c r="E22" i="6" s="1"/>
  <c r="G21" i="6"/>
  <c r="F21" i="6"/>
  <c r="D21" i="6"/>
  <c r="E21" i="6" s="1"/>
  <c r="G20" i="6"/>
  <c r="F20" i="6"/>
  <c r="D20" i="6"/>
  <c r="E20" i="6" s="1"/>
  <c r="G19" i="6"/>
  <c r="F19" i="6"/>
  <c r="D19" i="6"/>
  <c r="E19" i="6" s="1"/>
  <c r="G18" i="6"/>
  <c r="F18" i="6"/>
  <c r="D18" i="6"/>
  <c r="E18" i="6" s="1"/>
  <c r="G17" i="6"/>
  <c r="F17" i="6"/>
  <c r="D17" i="6"/>
  <c r="E17" i="6" s="1"/>
  <c r="G16" i="6"/>
  <c r="F16" i="6"/>
  <c r="D16" i="6"/>
  <c r="E16" i="6" s="1"/>
  <c r="G15" i="6"/>
  <c r="F15" i="6"/>
  <c r="D15" i="6"/>
  <c r="E15" i="6" s="1"/>
  <c r="G14" i="6"/>
  <c r="F14" i="6"/>
  <c r="D14" i="6"/>
  <c r="E14" i="6" s="1"/>
  <c r="G13" i="6"/>
  <c r="F13" i="6"/>
  <c r="D13" i="6"/>
  <c r="E13" i="6" s="1"/>
  <c r="G12" i="6"/>
  <c r="F12" i="6"/>
  <c r="D12" i="6"/>
  <c r="E12" i="6" s="1"/>
  <c r="G11" i="6"/>
  <c r="F11" i="6"/>
  <c r="D11" i="6"/>
  <c r="E11" i="6" s="1"/>
  <c r="G10" i="6"/>
  <c r="F10" i="6"/>
  <c r="D10" i="6"/>
  <c r="E10" i="6" s="1"/>
  <c r="G9" i="6"/>
  <c r="F9" i="6"/>
  <c r="D9" i="6"/>
  <c r="E9" i="6" s="1"/>
  <c r="G8" i="6"/>
  <c r="F8" i="6"/>
  <c r="D8" i="6"/>
  <c r="E8" i="6" s="1"/>
  <c r="G7" i="6"/>
  <c r="F7" i="6"/>
  <c r="D7" i="6"/>
  <c r="E7" i="6" s="1"/>
  <c r="G6" i="6"/>
  <c r="F6" i="6"/>
  <c r="D6" i="6"/>
  <c r="E6" i="6" s="1"/>
  <c r="G5" i="6"/>
  <c r="F5" i="6"/>
  <c r="D5" i="6"/>
  <c r="E5" i="6" s="1"/>
  <c r="G4" i="6"/>
  <c r="F4" i="6"/>
  <c r="D4" i="6"/>
  <c r="E4" i="6" s="1"/>
  <c r="G3" i="6"/>
  <c r="F3" i="6"/>
  <c r="D3" i="6"/>
  <c r="E3" i="6" s="1"/>
  <c r="G2" i="6"/>
  <c r="H3" i="6" s="1"/>
  <c r="I3" i="6" s="1"/>
  <c r="F2" i="6"/>
  <c r="D2" i="6"/>
  <c r="E2" i="6" s="1"/>
  <c r="K34" i="5"/>
  <c r="J34" i="5"/>
  <c r="I34" i="5"/>
  <c r="H34" i="5"/>
  <c r="G34" i="5"/>
  <c r="F34" i="5"/>
  <c r="E34" i="5"/>
  <c r="D34" i="5"/>
  <c r="D2" i="5"/>
  <c r="E2" i="5" s="1"/>
  <c r="J2" i="5" s="1"/>
  <c r="F2" i="5"/>
  <c r="G2" i="5"/>
  <c r="H2" i="5"/>
  <c r="I2" i="5"/>
  <c r="D3" i="5"/>
  <c r="E3" i="5"/>
  <c r="F3" i="5"/>
  <c r="G3" i="5"/>
  <c r="H6" i="5" s="1"/>
  <c r="I6" i="5" s="1"/>
  <c r="J6" i="5" s="1"/>
  <c r="H3" i="5"/>
  <c r="I3" i="5"/>
  <c r="J3" i="5"/>
  <c r="D4" i="5"/>
  <c r="E4" i="5" s="1"/>
  <c r="F4" i="5"/>
  <c r="G4" i="5"/>
  <c r="D5" i="5"/>
  <c r="E5" i="5"/>
  <c r="F5" i="5"/>
  <c r="G5" i="5"/>
  <c r="H23" i="5" s="1"/>
  <c r="I23" i="5" s="1"/>
  <c r="J23" i="5" s="1"/>
  <c r="H5" i="5"/>
  <c r="I5" i="5"/>
  <c r="J5" i="5"/>
  <c r="D6" i="5"/>
  <c r="E6" i="5"/>
  <c r="F6" i="5"/>
  <c r="G6" i="5"/>
  <c r="D7" i="5"/>
  <c r="E7" i="5"/>
  <c r="F7" i="5"/>
  <c r="G7" i="5"/>
  <c r="D8" i="5"/>
  <c r="E8" i="5" s="1"/>
  <c r="F8" i="5"/>
  <c r="G8" i="5"/>
  <c r="D9" i="5"/>
  <c r="E9" i="5"/>
  <c r="F9" i="5"/>
  <c r="G9" i="5"/>
  <c r="H9" i="5"/>
  <c r="I9" i="5"/>
  <c r="J9" i="5"/>
  <c r="D10" i="5"/>
  <c r="E10" i="5"/>
  <c r="F10" i="5"/>
  <c r="G10" i="5"/>
  <c r="D11" i="5"/>
  <c r="E11" i="5"/>
  <c r="F11" i="5"/>
  <c r="G11" i="5"/>
  <c r="D12" i="5"/>
  <c r="E12" i="5" s="1"/>
  <c r="F12" i="5"/>
  <c r="G12" i="5"/>
  <c r="D13" i="5"/>
  <c r="E13" i="5"/>
  <c r="F13" i="5"/>
  <c r="G13" i="5"/>
  <c r="H13" i="5"/>
  <c r="I13" i="5"/>
  <c r="J13" i="5"/>
  <c r="D14" i="5"/>
  <c r="E14" i="5"/>
  <c r="F14" i="5"/>
  <c r="G14" i="5"/>
  <c r="D15" i="5"/>
  <c r="E15" i="5"/>
  <c r="F15" i="5"/>
  <c r="G15" i="5"/>
  <c r="D16" i="5"/>
  <c r="E16" i="5" s="1"/>
  <c r="F16" i="5"/>
  <c r="G16" i="5"/>
  <c r="D17" i="5"/>
  <c r="E17" i="5"/>
  <c r="F17" i="5"/>
  <c r="G17" i="5"/>
  <c r="H17" i="5"/>
  <c r="I17" i="5"/>
  <c r="J17" i="5"/>
  <c r="D18" i="5"/>
  <c r="E18" i="5"/>
  <c r="F18" i="5"/>
  <c r="G18" i="5"/>
  <c r="D19" i="5"/>
  <c r="E19" i="5"/>
  <c r="F19" i="5"/>
  <c r="G19" i="5"/>
  <c r="D20" i="5"/>
  <c r="E20" i="5" s="1"/>
  <c r="F20" i="5"/>
  <c r="G20" i="5"/>
  <c r="D21" i="5"/>
  <c r="E21" i="5"/>
  <c r="F21" i="5"/>
  <c r="G21" i="5"/>
  <c r="H21" i="5"/>
  <c r="I21" i="5"/>
  <c r="J21" i="5"/>
  <c r="D22" i="5"/>
  <c r="E22" i="5" s="1"/>
  <c r="F22" i="5"/>
  <c r="G22" i="5"/>
  <c r="D23" i="5"/>
  <c r="E23" i="5"/>
  <c r="F23" i="5"/>
  <c r="G23" i="5"/>
  <c r="D24" i="5"/>
  <c r="E24" i="5" s="1"/>
  <c r="F24" i="5"/>
  <c r="G24" i="5"/>
  <c r="D25" i="5"/>
  <c r="E25" i="5"/>
  <c r="F25" i="5"/>
  <c r="G25" i="5"/>
  <c r="H25" i="5"/>
  <c r="I25" i="5"/>
  <c r="J25" i="5"/>
  <c r="D26" i="5"/>
  <c r="E26" i="5" s="1"/>
  <c r="F26" i="5"/>
  <c r="G26" i="5"/>
  <c r="D27" i="5"/>
  <c r="E27" i="5"/>
  <c r="F27" i="5"/>
  <c r="G27" i="5"/>
  <c r="D28" i="5"/>
  <c r="E28" i="5" s="1"/>
  <c r="F28" i="5"/>
  <c r="G28" i="5"/>
  <c r="D29" i="5"/>
  <c r="E29" i="5"/>
  <c r="F29" i="5"/>
  <c r="G29" i="5"/>
  <c r="H29" i="5"/>
  <c r="I29" i="5"/>
  <c r="J29" i="5"/>
  <c r="D30" i="5"/>
  <c r="E30" i="5" s="1"/>
  <c r="F30" i="5"/>
  <c r="G30" i="5"/>
  <c r="D31" i="5"/>
  <c r="E31" i="5"/>
  <c r="F31" i="5"/>
  <c r="G31" i="5"/>
  <c r="D32" i="5"/>
  <c r="E32" i="5" s="1"/>
  <c r="F32" i="5"/>
  <c r="G32" i="5"/>
  <c r="D33" i="5"/>
  <c r="E33" i="5"/>
  <c r="F33" i="5"/>
  <c r="G33" i="5"/>
  <c r="H33" i="5"/>
  <c r="I33" i="5"/>
  <c r="J33" i="5"/>
  <c r="C35" i="5"/>
  <c r="J37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2" i="4"/>
  <c r="C2" i="24"/>
  <c r="B2" i="24"/>
  <c r="G32" i="4"/>
  <c r="G33" i="4"/>
  <c r="E12" i="4"/>
  <c r="E13" i="4"/>
  <c r="E14" i="4"/>
  <c r="E15" i="4"/>
  <c r="E16" i="4"/>
  <c r="E17" i="4"/>
  <c r="E18" i="4"/>
  <c r="E19" i="4"/>
  <c r="E23" i="4"/>
  <c r="E24" i="4"/>
  <c r="E25" i="4"/>
  <c r="E26" i="4"/>
  <c r="E27" i="4"/>
  <c r="E28" i="4"/>
  <c r="E29" i="4"/>
  <c r="E3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" i="4"/>
  <c r="D3" i="4"/>
  <c r="E3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D11" i="4"/>
  <c r="E11" i="4" s="1"/>
  <c r="D12" i="4"/>
  <c r="D13" i="4"/>
  <c r="D14" i="4"/>
  <c r="D15" i="4"/>
  <c r="D16" i="4"/>
  <c r="D17" i="4"/>
  <c r="D18" i="4"/>
  <c r="D19" i="4"/>
  <c r="D20" i="4"/>
  <c r="E20" i="4" s="1"/>
  <c r="D21" i="4"/>
  <c r="E21" i="4" s="1"/>
  <c r="D22" i="4"/>
  <c r="E22" i="4" s="1"/>
  <c r="D23" i="4"/>
  <c r="D24" i="4"/>
  <c r="D25" i="4"/>
  <c r="D26" i="4"/>
  <c r="D27" i="4"/>
  <c r="D28" i="4"/>
  <c r="D29" i="4"/>
  <c r="D30" i="4"/>
  <c r="D31" i="4"/>
  <c r="E31" i="4" s="1"/>
  <c r="D32" i="4"/>
  <c r="E32" i="4" s="1"/>
  <c r="D33" i="4"/>
  <c r="E33" i="4" s="1"/>
  <c r="D2" i="4"/>
  <c r="E2" i="4" s="1"/>
  <c r="C35" i="4"/>
  <c r="H32" i="23" l="1"/>
  <c r="I32" i="23" s="1"/>
  <c r="J32" i="23" s="1"/>
  <c r="K32" i="23" s="1"/>
  <c r="H28" i="23"/>
  <c r="I28" i="23" s="1"/>
  <c r="J28" i="23" s="1"/>
  <c r="K28" i="23" s="1"/>
  <c r="H16" i="23"/>
  <c r="I16" i="23" s="1"/>
  <c r="J16" i="23" s="1"/>
  <c r="K16" i="23" s="1"/>
  <c r="H11" i="23"/>
  <c r="I11" i="23" s="1"/>
  <c r="H21" i="23"/>
  <c r="I21" i="23" s="1"/>
  <c r="J21" i="23" s="1"/>
  <c r="K21" i="23" s="1"/>
  <c r="H18" i="23"/>
  <c r="I18" i="23" s="1"/>
  <c r="J18" i="23" s="1"/>
  <c r="K18" i="23" s="1"/>
  <c r="J11" i="23"/>
  <c r="K11" i="23" s="1"/>
  <c r="H26" i="23"/>
  <c r="I26" i="23" s="1"/>
  <c r="J26" i="23" s="1"/>
  <c r="K26" i="23" s="1"/>
  <c r="H19" i="23"/>
  <c r="I19" i="23" s="1"/>
  <c r="J19" i="23" s="1"/>
  <c r="K19" i="23" s="1"/>
  <c r="H12" i="23"/>
  <c r="I12" i="23" s="1"/>
  <c r="J12" i="23" s="1"/>
  <c r="K12" i="23" s="1"/>
  <c r="H5" i="23"/>
  <c r="I5" i="23" s="1"/>
  <c r="J5" i="23" s="1"/>
  <c r="K5" i="23" s="1"/>
  <c r="H22" i="23"/>
  <c r="I22" i="23" s="1"/>
  <c r="J22" i="23" s="1"/>
  <c r="K22" i="23" s="1"/>
  <c r="H15" i="23"/>
  <c r="I15" i="23" s="1"/>
  <c r="J15" i="23" s="1"/>
  <c r="K15" i="23" s="1"/>
  <c r="H8" i="23"/>
  <c r="I8" i="23" s="1"/>
  <c r="J8" i="23" s="1"/>
  <c r="K8" i="23" s="1"/>
  <c r="H4" i="23"/>
  <c r="I4" i="23" s="1"/>
  <c r="J4" i="23" s="1"/>
  <c r="K4" i="23" s="1"/>
  <c r="H25" i="23"/>
  <c r="I25" i="23" s="1"/>
  <c r="J25" i="23" s="1"/>
  <c r="K25" i="23" s="1"/>
  <c r="H7" i="23"/>
  <c r="I7" i="23" s="1"/>
  <c r="J7" i="23" s="1"/>
  <c r="K7" i="23" s="1"/>
  <c r="H14" i="23"/>
  <c r="I14" i="23" s="1"/>
  <c r="J14" i="23" s="1"/>
  <c r="K14" i="23" s="1"/>
  <c r="H23" i="23"/>
  <c r="I23" i="23" s="1"/>
  <c r="J23" i="23" s="1"/>
  <c r="K23" i="23" s="1"/>
  <c r="H6" i="23"/>
  <c r="I6" i="23" s="1"/>
  <c r="J6" i="23" s="1"/>
  <c r="K6" i="23" s="1"/>
  <c r="H13" i="23"/>
  <c r="I13" i="23" s="1"/>
  <c r="J13" i="23" s="1"/>
  <c r="K13" i="23" s="1"/>
  <c r="H20" i="23"/>
  <c r="I20" i="23" s="1"/>
  <c r="J20" i="23" s="1"/>
  <c r="K20" i="23" s="1"/>
  <c r="H27" i="23"/>
  <c r="I27" i="23" s="1"/>
  <c r="J27" i="23" s="1"/>
  <c r="K27" i="23" s="1"/>
  <c r="H3" i="23"/>
  <c r="I3" i="23" s="1"/>
  <c r="J3" i="23" s="1"/>
  <c r="K3" i="23" s="1"/>
  <c r="H10" i="23"/>
  <c r="I10" i="23" s="1"/>
  <c r="J10" i="23" s="1"/>
  <c r="K10" i="23" s="1"/>
  <c r="H17" i="23"/>
  <c r="I17" i="23" s="1"/>
  <c r="J17" i="23" s="1"/>
  <c r="K17" i="23" s="1"/>
  <c r="H24" i="23"/>
  <c r="I24" i="23" s="1"/>
  <c r="J24" i="23" s="1"/>
  <c r="K24" i="23" s="1"/>
  <c r="H2" i="23"/>
  <c r="I2" i="23" s="1"/>
  <c r="J2" i="23" s="1"/>
  <c r="H9" i="23"/>
  <c r="I9" i="23" s="1"/>
  <c r="J9" i="23" s="1"/>
  <c r="K9" i="23" s="1"/>
  <c r="H27" i="22"/>
  <c r="I27" i="22" s="1"/>
  <c r="H19" i="22"/>
  <c r="I19" i="22" s="1"/>
  <c r="J19" i="22" s="1"/>
  <c r="K19" i="22" s="1"/>
  <c r="J27" i="22"/>
  <c r="K27" i="22" s="1"/>
  <c r="H3" i="22"/>
  <c r="I3" i="22" s="1"/>
  <c r="J3" i="22" s="1"/>
  <c r="K3" i="22" s="1"/>
  <c r="H10" i="22"/>
  <c r="I10" i="22" s="1"/>
  <c r="J10" i="22" s="1"/>
  <c r="K10" i="22" s="1"/>
  <c r="H17" i="22"/>
  <c r="I17" i="22" s="1"/>
  <c r="J17" i="22" s="1"/>
  <c r="K17" i="22" s="1"/>
  <c r="H7" i="22"/>
  <c r="I7" i="22" s="1"/>
  <c r="J7" i="22" s="1"/>
  <c r="K7" i="22" s="1"/>
  <c r="H14" i="22"/>
  <c r="I14" i="22" s="1"/>
  <c r="J14" i="22" s="1"/>
  <c r="K14" i="22" s="1"/>
  <c r="H21" i="22"/>
  <c r="I21" i="22" s="1"/>
  <c r="J21" i="22" s="1"/>
  <c r="K21" i="22" s="1"/>
  <c r="H4" i="22"/>
  <c r="I4" i="22" s="1"/>
  <c r="J4" i="22" s="1"/>
  <c r="K4" i="22" s="1"/>
  <c r="H18" i="22"/>
  <c r="I18" i="22" s="1"/>
  <c r="J18" i="22" s="1"/>
  <c r="K18" i="22" s="1"/>
  <c r="H8" i="22"/>
  <c r="I8" i="22" s="1"/>
  <c r="J8" i="22" s="1"/>
  <c r="K8" i="22" s="1"/>
  <c r="H26" i="22"/>
  <c r="I26" i="22" s="1"/>
  <c r="J26" i="22" s="1"/>
  <c r="K26" i="22" s="1"/>
  <c r="H24" i="22"/>
  <c r="I24" i="22" s="1"/>
  <c r="J24" i="22" s="1"/>
  <c r="K24" i="22" s="1"/>
  <c r="H11" i="22"/>
  <c r="I11" i="22" s="1"/>
  <c r="J11" i="22" s="1"/>
  <c r="K11" i="22" s="1"/>
  <c r="H25" i="22"/>
  <c r="I25" i="22" s="1"/>
  <c r="J25" i="22" s="1"/>
  <c r="K25" i="22" s="1"/>
  <c r="H15" i="22"/>
  <c r="I15" i="22" s="1"/>
  <c r="J15" i="22" s="1"/>
  <c r="K15" i="22" s="1"/>
  <c r="H22" i="22"/>
  <c r="I22" i="22" s="1"/>
  <c r="J22" i="22" s="1"/>
  <c r="K22" i="22" s="1"/>
  <c r="H5" i="22"/>
  <c r="I5" i="22" s="1"/>
  <c r="J5" i="22" s="1"/>
  <c r="K5" i="22" s="1"/>
  <c r="H12" i="22"/>
  <c r="I12" i="22" s="1"/>
  <c r="J12" i="22" s="1"/>
  <c r="K12" i="22" s="1"/>
  <c r="H2" i="22"/>
  <c r="I2" i="22" s="1"/>
  <c r="J2" i="22" s="1"/>
  <c r="H9" i="22"/>
  <c r="I9" i="22" s="1"/>
  <c r="J9" i="22" s="1"/>
  <c r="K9" i="22" s="1"/>
  <c r="H16" i="22"/>
  <c r="I16" i="22" s="1"/>
  <c r="J16" i="22" s="1"/>
  <c r="K16" i="22" s="1"/>
  <c r="H23" i="22"/>
  <c r="I23" i="22" s="1"/>
  <c r="J23" i="22" s="1"/>
  <c r="K23" i="22" s="1"/>
  <c r="H6" i="22"/>
  <c r="I6" i="22" s="1"/>
  <c r="J6" i="22" s="1"/>
  <c r="K6" i="22" s="1"/>
  <c r="H13" i="22"/>
  <c r="I13" i="22" s="1"/>
  <c r="J13" i="22" s="1"/>
  <c r="K13" i="22" s="1"/>
  <c r="H20" i="22"/>
  <c r="I20" i="22" s="1"/>
  <c r="J20" i="22" s="1"/>
  <c r="K20" i="22" s="1"/>
  <c r="J34" i="21"/>
  <c r="K34" i="21" s="1"/>
  <c r="H33" i="21"/>
  <c r="J33" i="21" s="1"/>
  <c r="K33" i="21" s="1"/>
  <c r="H36" i="21"/>
  <c r="J36" i="21" s="1"/>
  <c r="K36" i="21" s="1"/>
  <c r="H8" i="21"/>
  <c r="H23" i="21"/>
  <c r="H19" i="21"/>
  <c r="J8" i="21"/>
  <c r="K8" i="21" s="1"/>
  <c r="J23" i="21"/>
  <c r="K23" i="21" s="1"/>
  <c r="J19" i="21"/>
  <c r="K19" i="21" s="1"/>
  <c r="H15" i="21"/>
  <c r="J15" i="21" s="1"/>
  <c r="K15" i="21" s="1"/>
  <c r="H3" i="21"/>
  <c r="J3" i="21" s="1"/>
  <c r="K3" i="21" s="1"/>
  <c r="H10" i="21"/>
  <c r="J10" i="21" s="1"/>
  <c r="K10" i="21" s="1"/>
  <c r="H17" i="21"/>
  <c r="J17" i="21" s="1"/>
  <c r="K17" i="21" s="1"/>
  <c r="H24" i="21"/>
  <c r="J24" i="21" s="1"/>
  <c r="K24" i="21" s="1"/>
  <c r="H7" i="21"/>
  <c r="J7" i="21" s="1"/>
  <c r="K7" i="21" s="1"/>
  <c r="H14" i="21"/>
  <c r="J14" i="21" s="1"/>
  <c r="K14" i="21" s="1"/>
  <c r="H21" i="21"/>
  <c r="J21" i="21" s="1"/>
  <c r="K21" i="21" s="1"/>
  <c r="H28" i="21"/>
  <c r="J28" i="21" s="1"/>
  <c r="K28" i="21" s="1"/>
  <c r="H4" i="21"/>
  <c r="J4" i="21" s="1"/>
  <c r="K4" i="21" s="1"/>
  <c r="H11" i="21"/>
  <c r="J11" i="21" s="1"/>
  <c r="K11" i="21" s="1"/>
  <c r="H18" i="21"/>
  <c r="J18" i="21" s="1"/>
  <c r="K18" i="21" s="1"/>
  <c r="H25" i="21"/>
  <c r="J25" i="21" s="1"/>
  <c r="K25" i="21" s="1"/>
  <c r="H22" i="21"/>
  <c r="J22" i="21" s="1"/>
  <c r="K22" i="21" s="1"/>
  <c r="H16" i="21"/>
  <c r="J16" i="21" s="1"/>
  <c r="K16" i="21" s="1"/>
  <c r="H30" i="21"/>
  <c r="J30" i="21" s="1"/>
  <c r="K30" i="21" s="1"/>
  <c r="H6" i="21"/>
  <c r="J6" i="21" s="1"/>
  <c r="K6" i="21" s="1"/>
  <c r="H13" i="21"/>
  <c r="J13" i="21" s="1"/>
  <c r="K13" i="21" s="1"/>
  <c r="H20" i="21"/>
  <c r="J20" i="21" s="1"/>
  <c r="K20" i="21" s="1"/>
  <c r="H27" i="21"/>
  <c r="J27" i="21" s="1"/>
  <c r="K27" i="21" s="1"/>
  <c r="H29" i="21"/>
  <c r="J29" i="21" s="1"/>
  <c r="K29" i="21" s="1"/>
  <c r="H26" i="21"/>
  <c r="J26" i="21" s="1"/>
  <c r="K26" i="21" s="1"/>
  <c r="H2" i="21"/>
  <c r="J2" i="21" s="1"/>
  <c r="H9" i="21"/>
  <c r="J9" i="21" s="1"/>
  <c r="K9" i="21" s="1"/>
  <c r="H5" i="21"/>
  <c r="J5" i="21" s="1"/>
  <c r="K5" i="21" s="1"/>
  <c r="H12" i="21"/>
  <c r="J12" i="21" s="1"/>
  <c r="K12" i="21" s="1"/>
  <c r="H28" i="20"/>
  <c r="I28" i="20" s="1"/>
  <c r="J28" i="20" s="1"/>
  <c r="K28" i="20" s="1"/>
  <c r="H30" i="20"/>
  <c r="I30" i="20" s="1"/>
  <c r="J30" i="20" s="1"/>
  <c r="K30" i="20" s="1"/>
  <c r="H26" i="20"/>
  <c r="I26" i="20" s="1"/>
  <c r="J26" i="20" s="1"/>
  <c r="K26" i="20" s="1"/>
  <c r="H20" i="20"/>
  <c r="I20" i="20" s="1"/>
  <c r="J20" i="20"/>
  <c r="K20" i="20" s="1"/>
  <c r="J2" i="20"/>
  <c r="H6" i="20"/>
  <c r="I6" i="20" s="1"/>
  <c r="J6" i="20" s="1"/>
  <c r="K6" i="20" s="1"/>
  <c r="H13" i="20"/>
  <c r="I13" i="20" s="1"/>
  <c r="J13" i="20" s="1"/>
  <c r="K13" i="20" s="1"/>
  <c r="H3" i="20"/>
  <c r="I3" i="20" s="1"/>
  <c r="J3" i="20" s="1"/>
  <c r="K3" i="20" s="1"/>
  <c r="H10" i="20"/>
  <c r="I10" i="20" s="1"/>
  <c r="J10" i="20" s="1"/>
  <c r="K10" i="20" s="1"/>
  <c r="H17" i="20"/>
  <c r="I17" i="20" s="1"/>
  <c r="J17" i="20" s="1"/>
  <c r="K17" i="20" s="1"/>
  <c r="H8" i="20"/>
  <c r="I8" i="20" s="1"/>
  <c r="J8" i="20" s="1"/>
  <c r="K8" i="20" s="1"/>
  <c r="H15" i="20"/>
  <c r="I15" i="20" s="1"/>
  <c r="J15" i="20" s="1"/>
  <c r="K15" i="20" s="1"/>
  <c r="H5" i="20"/>
  <c r="I5" i="20" s="1"/>
  <c r="J5" i="20" s="1"/>
  <c r="K5" i="20" s="1"/>
  <c r="H12" i="20"/>
  <c r="I12" i="20" s="1"/>
  <c r="J12" i="20" s="1"/>
  <c r="K12" i="20" s="1"/>
  <c r="H19" i="20"/>
  <c r="I19" i="20" s="1"/>
  <c r="J19" i="20" s="1"/>
  <c r="K19" i="20" s="1"/>
  <c r="H9" i="20"/>
  <c r="I9" i="20" s="1"/>
  <c r="J9" i="20" s="1"/>
  <c r="K9" i="20" s="1"/>
  <c r="H16" i="20"/>
  <c r="I16" i="20" s="1"/>
  <c r="J16" i="20" s="1"/>
  <c r="K16" i="20" s="1"/>
  <c r="H7" i="20"/>
  <c r="I7" i="20" s="1"/>
  <c r="J7" i="20" s="1"/>
  <c r="K7" i="20" s="1"/>
  <c r="H14" i="20"/>
  <c r="I14" i="20" s="1"/>
  <c r="J14" i="20" s="1"/>
  <c r="K14" i="20" s="1"/>
  <c r="H21" i="20"/>
  <c r="I21" i="20" s="1"/>
  <c r="J21" i="20" s="1"/>
  <c r="K21" i="20" s="1"/>
  <c r="H4" i="20"/>
  <c r="I4" i="20" s="1"/>
  <c r="J4" i="20" s="1"/>
  <c r="K4" i="20" s="1"/>
  <c r="H11" i="20"/>
  <c r="I11" i="20" s="1"/>
  <c r="J11" i="20" s="1"/>
  <c r="K11" i="20" s="1"/>
  <c r="J18" i="19"/>
  <c r="K18" i="19" s="1"/>
  <c r="H8" i="19"/>
  <c r="J8" i="19" s="1"/>
  <c r="K8" i="19" s="1"/>
  <c r="H15" i="19"/>
  <c r="J15" i="19" s="1"/>
  <c r="K15" i="19" s="1"/>
  <c r="H6" i="19"/>
  <c r="J6" i="19" s="1"/>
  <c r="K6" i="19" s="1"/>
  <c r="H13" i="19"/>
  <c r="J13" i="19" s="1"/>
  <c r="K13" i="19" s="1"/>
  <c r="H20" i="19"/>
  <c r="J20" i="19" s="1"/>
  <c r="K20" i="19" s="1"/>
  <c r="H3" i="19"/>
  <c r="J3" i="19" s="1"/>
  <c r="K3" i="19" s="1"/>
  <c r="H10" i="19"/>
  <c r="J10" i="19" s="1"/>
  <c r="K10" i="19" s="1"/>
  <c r="H17" i="19"/>
  <c r="J17" i="19" s="1"/>
  <c r="K17" i="19" s="1"/>
  <c r="H7" i="19"/>
  <c r="J7" i="19" s="1"/>
  <c r="K7" i="19" s="1"/>
  <c r="H14" i="19"/>
  <c r="J14" i="19" s="1"/>
  <c r="K14" i="19" s="1"/>
  <c r="H21" i="19"/>
  <c r="J21" i="19" s="1"/>
  <c r="K21" i="19" s="1"/>
  <c r="H5" i="19"/>
  <c r="J5" i="19" s="1"/>
  <c r="K5" i="19" s="1"/>
  <c r="H12" i="19"/>
  <c r="J12" i="19" s="1"/>
  <c r="K12" i="19" s="1"/>
  <c r="H19" i="19"/>
  <c r="J19" i="19" s="1"/>
  <c r="K19" i="19" s="1"/>
  <c r="H2" i="19"/>
  <c r="J2" i="19" s="1"/>
  <c r="H9" i="19"/>
  <c r="J9" i="19" s="1"/>
  <c r="K9" i="19" s="1"/>
  <c r="H16" i="19"/>
  <c r="J16" i="19" s="1"/>
  <c r="K16" i="19" s="1"/>
  <c r="H27" i="18"/>
  <c r="I27" i="18" s="1"/>
  <c r="J27" i="18" s="1"/>
  <c r="K27" i="18" s="1"/>
  <c r="H30" i="18"/>
  <c r="I30" i="18" s="1"/>
  <c r="J30" i="18" s="1"/>
  <c r="K30" i="18" s="1"/>
  <c r="H32" i="18"/>
  <c r="I32" i="18" s="1"/>
  <c r="J32" i="18" s="1"/>
  <c r="K32" i="18" s="1"/>
  <c r="H33" i="18"/>
  <c r="I33" i="18" s="1"/>
  <c r="J33" i="18" s="1"/>
  <c r="K33" i="18" s="1"/>
  <c r="H26" i="18"/>
  <c r="I26" i="18" s="1"/>
  <c r="J26" i="18" s="1"/>
  <c r="K26" i="18" s="1"/>
  <c r="H12" i="18"/>
  <c r="I12" i="18" s="1"/>
  <c r="J12" i="18" s="1"/>
  <c r="K12" i="18" s="1"/>
  <c r="H16" i="18"/>
  <c r="I16" i="18" s="1"/>
  <c r="J16" i="18" s="1"/>
  <c r="K16" i="18" s="1"/>
  <c r="H9" i="18"/>
  <c r="I9" i="18" s="1"/>
  <c r="J9" i="18" s="1"/>
  <c r="K9" i="18" s="1"/>
  <c r="H23" i="18"/>
  <c r="I23" i="18" s="1"/>
  <c r="J23" i="18" s="1"/>
  <c r="K23" i="18" s="1"/>
  <c r="H5" i="18"/>
  <c r="I5" i="18" s="1"/>
  <c r="J5" i="18" s="1"/>
  <c r="K5" i="18" s="1"/>
  <c r="H19" i="18"/>
  <c r="I19" i="18" s="1"/>
  <c r="J19" i="18" s="1"/>
  <c r="K19" i="18" s="1"/>
  <c r="H25" i="18"/>
  <c r="I25" i="18" s="1"/>
  <c r="J25" i="18" s="1"/>
  <c r="K25" i="18" s="1"/>
  <c r="H18" i="18"/>
  <c r="I18" i="18" s="1"/>
  <c r="J18" i="18" s="1"/>
  <c r="K18" i="18" s="1"/>
  <c r="H11" i="18"/>
  <c r="I11" i="18" s="1"/>
  <c r="J11" i="18" s="1"/>
  <c r="K11" i="18" s="1"/>
  <c r="H4" i="18"/>
  <c r="I4" i="18" s="1"/>
  <c r="J4" i="18" s="1"/>
  <c r="K4" i="18" s="1"/>
  <c r="H21" i="18"/>
  <c r="I21" i="18" s="1"/>
  <c r="J21" i="18" s="1"/>
  <c r="K21" i="18" s="1"/>
  <c r="H14" i="18"/>
  <c r="I14" i="18" s="1"/>
  <c r="J14" i="18" s="1"/>
  <c r="K14" i="18" s="1"/>
  <c r="H7" i="18"/>
  <c r="I7" i="18" s="1"/>
  <c r="J7" i="18" s="1"/>
  <c r="K7" i="18" s="1"/>
  <c r="H24" i="18"/>
  <c r="I24" i="18" s="1"/>
  <c r="J24" i="18" s="1"/>
  <c r="K24" i="18" s="1"/>
  <c r="H17" i="18"/>
  <c r="I17" i="18" s="1"/>
  <c r="J17" i="18" s="1"/>
  <c r="K17" i="18" s="1"/>
  <c r="H10" i="18"/>
  <c r="I10" i="18" s="1"/>
  <c r="J10" i="18" s="1"/>
  <c r="K10" i="18" s="1"/>
  <c r="H3" i="18"/>
  <c r="I3" i="18" s="1"/>
  <c r="J3" i="18" s="1"/>
  <c r="K3" i="18" s="1"/>
  <c r="H20" i="18"/>
  <c r="I20" i="18" s="1"/>
  <c r="J20" i="18" s="1"/>
  <c r="K20" i="18" s="1"/>
  <c r="H13" i="18"/>
  <c r="I13" i="18" s="1"/>
  <c r="J13" i="18" s="1"/>
  <c r="K13" i="18" s="1"/>
  <c r="H6" i="18"/>
  <c r="I6" i="18" s="1"/>
  <c r="J6" i="18" s="1"/>
  <c r="K6" i="18" s="1"/>
  <c r="H22" i="18"/>
  <c r="I22" i="18" s="1"/>
  <c r="J22" i="18" s="1"/>
  <c r="K22" i="18" s="1"/>
  <c r="H15" i="18"/>
  <c r="I15" i="18" s="1"/>
  <c r="J15" i="18" s="1"/>
  <c r="K15" i="18" s="1"/>
  <c r="H8" i="18"/>
  <c r="I8" i="18" s="1"/>
  <c r="J8" i="18" s="1"/>
  <c r="K8" i="18" s="1"/>
  <c r="H2" i="18"/>
  <c r="I2" i="18" s="1"/>
  <c r="J2" i="18" s="1"/>
  <c r="J25" i="17"/>
  <c r="K25" i="17" s="1"/>
  <c r="H8" i="17"/>
  <c r="J8" i="17"/>
  <c r="K8" i="17" s="1"/>
  <c r="H22" i="17"/>
  <c r="J22" i="17" s="1"/>
  <c r="K22" i="17" s="1"/>
  <c r="H5" i="17"/>
  <c r="J5" i="17" s="1"/>
  <c r="K5" i="17" s="1"/>
  <c r="H12" i="17"/>
  <c r="J12" i="17" s="1"/>
  <c r="K12" i="17" s="1"/>
  <c r="H19" i="17"/>
  <c r="J19" i="17" s="1"/>
  <c r="K19" i="17" s="1"/>
  <c r="H16" i="17"/>
  <c r="J16" i="17" s="1"/>
  <c r="K16" i="17" s="1"/>
  <c r="H6" i="17"/>
  <c r="J6" i="17" s="1"/>
  <c r="K6" i="17" s="1"/>
  <c r="H13" i="17"/>
  <c r="J13" i="17" s="1"/>
  <c r="K13" i="17" s="1"/>
  <c r="H20" i="17"/>
  <c r="J20" i="17" s="1"/>
  <c r="K20" i="17" s="1"/>
  <c r="H3" i="17"/>
  <c r="J3" i="17" s="1"/>
  <c r="K3" i="17" s="1"/>
  <c r="H10" i="17"/>
  <c r="J10" i="17" s="1"/>
  <c r="K10" i="17" s="1"/>
  <c r="H21" i="17"/>
  <c r="J21" i="17" s="1"/>
  <c r="K21" i="17" s="1"/>
  <c r="H4" i="17"/>
  <c r="J4" i="17" s="1"/>
  <c r="K4" i="17" s="1"/>
  <c r="H11" i="17"/>
  <c r="J11" i="17" s="1"/>
  <c r="K11" i="17" s="1"/>
  <c r="H15" i="17"/>
  <c r="J15" i="17" s="1"/>
  <c r="K15" i="17" s="1"/>
  <c r="H2" i="17"/>
  <c r="J2" i="17" s="1"/>
  <c r="H9" i="17"/>
  <c r="J9" i="17" s="1"/>
  <c r="K9" i="17" s="1"/>
  <c r="H17" i="17"/>
  <c r="J17" i="17" s="1"/>
  <c r="K17" i="17" s="1"/>
  <c r="H7" i="17"/>
  <c r="J7" i="17" s="1"/>
  <c r="K7" i="17" s="1"/>
  <c r="H14" i="17"/>
  <c r="J14" i="17" s="1"/>
  <c r="K14" i="17" s="1"/>
  <c r="H18" i="17"/>
  <c r="J18" i="17" s="1"/>
  <c r="K18" i="17" s="1"/>
  <c r="H12" i="16"/>
  <c r="I12" i="16" s="1"/>
  <c r="J12" i="16" s="1"/>
  <c r="K12" i="16" s="1"/>
  <c r="H19" i="16"/>
  <c r="I19" i="16" s="1"/>
  <c r="J19" i="16" s="1"/>
  <c r="K19" i="16" s="1"/>
  <c r="H5" i="16"/>
  <c r="I5" i="16" s="1"/>
  <c r="J5" i="16" s="1"/>
  <c r="K5" i="16" s="1"/>
  <c r="H18" i="16"/>
  <c r="I18" i="16" s="1"/>
  <c r="J18" i="16" s="1"/>
  <c r="K18" i="16" s="1"/>
  <c r="H11" i="16"/>
  <c r="I11" i="16" s="1"/>
  <c r="J11" i="16" s="1"/>
  <c r="K11" i="16" s="1"/>
  <c r="H4" i="16"/>
  <c r="I4" i="16" s="1"/>
  <c r="J4" i="16" s="1"/>
  <c r="K4" i="16" s="1"/>
  <c r="H21" i="16"/>
  <c r="I21" i="16" s="1"/>
  <c r="J21" i="16" s="1"/>
  <c r="K21" i="16" s="1"/>
  <c r="H14" i="16"/>
  <c r="I14" i="16" s="1"/>
  <c r="J14" i="16" s="1"/>
  <c r="K14" i="16" s="1"/>
  <c r="H7" i="16"/>
  <c r="I7" i="16" s="1"/>
  <c r="J7" i="16" s="1"/>
  <c r="K7" i="16" s="1"/>
  <c r="H17" i="16"/>
  <c r="I17" i="16" s="1"/>
  <c r="J17" i="16" s="1"/>
  <c r="K17" i="16" s="1"/>
  <c r="H10" i="16"/>
  <c r="I10" i="16" s="1"/>
  <c r="J10" i="16" s="1"/>
  <c r="K10" i="16" s="1"/>
  <c r="H3" i="16"/>
  <c r="I3" i="16" s="1"/>
  <c r="J3" i="16" s="1"/>
  <c r="K3" i="16" s="1"/>
  <c r="H20" i="16"/>
  <c r="I20" i="16" s="1"/>
  <c r="J20" i="16" s="1"/>
  <c r="K20" i="16" s="1"/>
  <c r="H13" i="16"/>
  <c r="I13" i="16" s="1"/>
  <c r="J13" i="16" s="1"/>
  <c r="K13" i="16" s="1"/>
  <c r="H6" i="16"/>
  <c r="I6" i="16" s="1"/>
  <c r="J6" i="16" s="1"/>
  <c r="K6" i="16" s="1"/>
  <c r="H16" i="16"/>
  <c r="I16" i="16" s="1"/>
  <c r="J16" i="16" s="1"/>
  <c r="K16" i="16" s="1"/>
  <c r="H9" i="16"/>
  <c r="I9" i="16" s="1"/>
  <c r="J9" i="16" s="1"/>
  <c r="K9" i="16" s="1"/>
  <c r="H2" i="16"/>
  <c r="I2" i="16" s="1"/>
  <c r="J2" i="16" s="1"/>
  <c r="H15" i="16"/>
  <c r="I15" i="16" s="1"/>
  <c r="J15" i="16" s="1"/>
  <c r="K15" i="16" s="1"/>
  <c r="H22" i="16"/>
  <c r="I22" i="16" s="1"/>
  <c r="J22" i="16" s="1"/>
  <c r="K22" i="16" s="1"/>
  <c r="H26" i="15"/>
  <c r="I26" i="15" s="1"/>
  <c r="J26" i="15" s="1"/>
  <c r="K26" i="15" s="1"/>
  <c r="H19" i="15"/>
  <c r="I19" i="15" s="1"/>
  <c r="J19" i="15" s="1"/>
  <c r="K19" i="15" s="1"/>
  <c r="H12" i="15"/>
  <c r="I12" i="15" s="1"/>
  <c r="J12" i="15" s="1"/>
  <c r="K12" i="15" s="1"/>
  <c r="H5" i="15"/>
  <c r="I5" i="15" s="1"/>
  <c r="J5" i="15" s="1"/>
  <c r="K5" i="15" s="1"/>
  <c r="H22" i="15"/>
  <c r="I22" i="15" s="1"/>
  <c r="J22" i="15" s="1"/>
  <c r="K22" i="15" s="1"/>
  <c r="H15" i="15"/>
  <c r="I15" i="15" s="1"/>
  <c r="J15" i="15" s="1"/>
  <c r="K15" i="15" s="1"/>
  <c r="H8" i="15"/>
  <c r="I8" i="15" s="1"/>
  <c r="J8" i="15" s="1"/>
  <c r="K8" i="15" s="1"/>
  <c r="H25" i="15"/>
  <c r="I25" i="15" s="1"/>
  <c r="J25" i="15" s="1"/>
  <c r="K25" i="15" s="1"/>
  <c r="H18" i="15"/>
  <c r="I18" i="15" s="1"/>
  <c r="J18" i="15" s="1"/>
  <c r="K18" i="15" s="1"/>
  <c r="H11" i="15"/>
  <c r="I11" i="15" s="1"/>
  <c r="J11" i="15" s="1"/>
  <c r="K11" i="15" s="1"/>
  <c r="H4" i="15"/>
  <c r="I4" i="15" s="1"/>
  <c r="J4" i="15" s="1"/>
  <c r="K4" i="15" s="1"/>
  <c r="H28" i="15"/>
  <c r="I28" i="15" s="1"/>
  <c r="J28" i="15" s="1"/>
  <c r="K28" i="15" s="1"/>
  <c r="H21" i="15"/>
  <c r="I21" i="15" s="1"/>
  <c r="J21" i="15" s="1"/>
  <c r="K21" i="15" s="1"/>
  <c r="H14" i="15"/>
  <c r="I14" i="15" s="1"/>
  <c r="J14" i="15" s="1"/>
  <c r="K14" i="15" s="1"/>
  <c r="H7" i="15"/>
  <c r="I7" i="15" s="1"/>
  <c r="J7" i="15" s="1"/>
  <c r="K7" i="15" s="1"/>
  <c r="H2" i="15"/>
  <c r="I2" i="15" s="1"/>
  <c r="J2" i="15" s="1"/>
  <c r="H13" i="15"/>
  <c r="I13" i="15" s="1"/>
  <c r="J13" i="15" s="1"/>
  <c r="K13" i="15" s="1"/>
  <c r="H24" i="15"/>
  <c r="I24" i="15" s="1"/>
  <c r="J24" i="15" s="1"/>
  <c r="K24" i="15" s="1"/>
  <c r="H3" i="15"/>
  <c r="I3" i="15" s="1"/>
  <c r="J3" i="15" s="1"/>
  <c r="K3" i="15" s="1"/>
  <c r="H9" i="15"/>
  <c r="I9" i="15" s="1"/>
  <c r="J9" i="15" s="1"/>
  <c r="K9" i="15" s="1"/>
  <c r="H20" i="15"/>
  <c r="I20" i="15" s="1"/>
  <c r="J20" i="15" s="1"/>
  <c r="K20" i="15" s="1"/>
  <c r="H16" i="15"/>
  <c r="I16" i="15" s="1"/>
  <c r="J16" i="15" s="1"/>
  <c r="K16" i="15" s="1"/>
  <c r="H27" i="15"/>
  <c r="I27" i="15" s="1"/>
  <c r="J27" i="15" s="1"/>
  <c r="K27" i="15" s="1"/>
  <c r="H10" i="15"/>
  <c r="I10" i="15" s="1"/>
  <c r="J10" i="15" s="1"/>
  <c r="K10" i="15" s="1"/>
  <c r="H6" i="15"/>
  <c r="I6" i="15" s="1"/>
  <c r="J6" i="15" s="1"/>
  <c r="K6" i="15" s="1"/>
  <c r="H23" i="15"/>
  <c r="I23" i="15" s="1"/>
  <c r="J23" i="15" s="1"/>
  <c r="K23" i="15" s="1"/>
  <c r="H17" i="15"/>
  <c r="I17" i="15" s="1"/>
  <c r="J17" i="15" s="1"/>
  <c r="K17" i="15" s="1"/>
  <c r="H14" i="14"/>
  <c r="I14" i="14" s="1"/>
  <c r="J14" i="14"/>
  <c r="K14" i="14" s="1"/>
  <c r="H7" i="14"/>
  <c r="I7" i="14" s="1"/>
  <c r="J7" i="14" s="1"/>
  <c r="K7" i="14" s="1"/>
  <c r="H2" i="14"/>
  <c r="I2" i="14" s="1"/>
  <c r="J2" i="14" s="1"/>
  <c r="H9" i="14"/>
  <c r="I9" i="14" s="1"/>
  <c r="J9" i="14" s="1"/>
  <c r="K9" i="14" s="1"/>
  <c r="H16" i="14"/>
  <c r="I16" i="14" s="1"/>
  <c r="J16" i="14" s="1"/>
  <c r="K16" i="14" s="1"/>
  <c r="H6" i="14"/>
  <c r="I6" i="14" s="1"/>
  <c r="J6" i="14" s="1"/>
  <c r="K6" i="14" s="1"/>
  <c r="H13" i="14"/>
  <c r="I13" i="14" s="1"/>
  <c r="J13" i="14" s="1"/>
  <c r="K13" i="14" s="1"/>
  <c r="H20" i="14"/>
  <c r="I20" i="14" s="1"/>
  <c r="J20" i="14" s="1"/>
  <c r="K20" i="14" s="1"/>
  <c r="H3" i="14"/>
  <c r="I3" i="14" s="1"/>
  <c r="J3" i="14" s="1"/>
  <c r="K3" i="14" s="1"/>
  <c r="H10" i="14"/>
  <c r="I10" i="14" s="1"/>
  <c r="J10" i="14" s="1"/>
  <c r="K10" i="14" s="1"/>
  <c r="H17" i="14"/>
  <c r="I17" i="14" s="1"/>
  <c r="J17" i="14" s="1"/>
  <c r="K17" i="14" s="1"/>
  <c r="H21" i="14"/>
  <c r="I21" i="14" s="1"/>
  <c r="J21" i="14" s="1"/>
  <c r="K21" i="14" s="1"/>
  <c r="H4" i="14"/>
  <c r="I4" i="14" s="1"/>
  <c r="J4" i="14" s="1"/>
  <c r="K4" i="14" s="1"/>
  <c r="H11" i="14"/>
  <c r="I11" i="14" s="1"/>
  <c r="J11" i="14" s="1"/>
  <c r="K11" i="14" s="1"/>
  <c r="H18" i="14"/>
  <c r="I18" i="14" s="1"/>
  <c r="J18" i="14" s="1"/>
  <c r="K18" i="14" s="1"/>
  <c r="H8" i="14"/>
  <c r="I8" i="14" s="1"/>
  <c r="J8" i="14" s="1"/>
  <c r="K8" i="14" s="1"/>
  <c r="H15" i="14"/>
  <c r="I15" i="14" s="1"/>
  <c r="J15" i="14" s="1"/>
  <c r="K15" i="14" s="1"/>
  <c r="H22" i="14"/>
  <c r="I22" i="14" s="1"/>
  <c r="J22" i="14" s="1"/>
  <c r="K22" i="14" s="1"/>
  <c r="H5" i="14"/>
  <c r="I5" i="14" s="1"/>
  <c r="J5" i="14" s="1"/>
  <c r="K5" i="14" s="1"/>
  <c r="H12" i="14"/>
  <c r="I12" i="14" s="1"/>
  <c r="J12" i="14" s="1"/>
  <c r="K12" i="14" s="1"/>
  <c r="H19" i="14"/>
  <c r="I19" i="14" s="1"/>
  <c r="J19" i="14" s="1"/>
  <c r="K19" i="14" s="1"/>
  <c r="H27" i="13"/>
  <c r="J27" i="13" s="1"/>
  <c r="K27" i="13" s="1"/>
  <c r="J2" i="13"/>
  <c r="J6" i="13"/>
  <c r="K6" i="13" s="1"/>
  <c r="K2" i="13"/>
  <c r="H13" i="13"/>
  <c r="J13" i="13" s="1"/>
  <c r="K13" i="13" s="1"/>
  <c r="H16" i="13"/>
  <c r="J16" i="13" s="1"/>
  <c r="K16" i="13" s="1"/>
  <c r="H20" i="13"/>
  <c r="J20" i="13" s="1"/>
  <c r="K20" i="13" s="1"/>
  <c r="H23" i="13"/>
  <c r="J23" i="13" s="1"/>
  <c r="K23" i="13" s="1"/>
  <c r="H8" i="13"/>
  <c r="J8" i="13" s="1"/>
  <c r="K8" i="13" s="1"/>
  <c r="H25" i="13"/>
  <c r="J25" i="13" s="1"/>
  <c r="K25" i="13" s="1"/>
  <c r="H24" i="13"/>
  <c r="J24" i="13" s="1"/>
  <c r="K24" i="13" s="1"/>
  <c r="H17" i="13"/>
  <c r="J17" i="13" s="1"/>
  <c r="K17" i="13" s="1"/>
  <c r="H10" i="13"/>
  <c r="J10" i="13" s="1"/>
  <c r="K10" i="13" s="1"/>
  <c r="H3" i="13"/>
  <c r="J3" i="13" s="1"/>
  <c r="K3" i="13" s="1"/>
  <c r="H26" i="13"/>
  <c r="J26" i="13" s="1"/>
  <c r="K26" i="13" s="1"/>
  <c r="H19" i="13"/>
  <c r="J19" i="13" s="1"/>
  <c r="K19" i="13" s="1"/>
  <c r="H12" i="13"/>
  <c r="J12" i="13" s="1"/>
  <c r="K12" i="13" s="1"/>
  <c r="H5" i="13"/>
  <c r="J5" i="13" s="1"/>
  <c r="K5" i="13" s="1"/>
  <c r="H22" i="13"/>
  <c r="J22" i="13" s="1"/>
  <c r="K22" i="13" s="1"/>
  <c r="H15" i="13"/>
  <c r="J15" i="13" s="1"/>
  <c r="K15" i="13" s="1"/>
  <c r="H18" i="13"/>
  <c r="J18" i="13" s="1"/>
  <c r="K18" i="13" s="1"/>
  <c r="H11" i="13"/>
  <c r="J11" i="13" s="1"/>
  <c r="K11" i="13" s="1"/>
  <c r="H4" i="13"/>
  <c r="J4" i="13" s="1"/>
  <c r="K4" i="13" s="1"/>
  <c r="H28" i="13"/>
  <c r="J28" i="13" s="1"/>
  <c r="K28" i="13" s="1"/>
  <c r="H21" i="13"/>
  <c r="J21" i="13" s="1"/>
  <c r="K21" i="13" s="1"/>
  <c r="H14" i="13"/>
  <c r="J14" i="13" s="1"/>
  <c r="K14" i="13" s="1"/>
  <c r="H7" i="13"/>
  <c r="J7" i="13" s="1"/>
  <c r="K7" i="13" s="1"/>
  <c r="H9" i="13"/>
  <c r="J9" i="13" s="1"/>
  <c r="K9" i="13" s="1"/>
  <c r="H13" i="12"/>
  <c r="I13" i="12" s="1"/>
  <c r="H17" i="12"/>
  <c r="I17" i="12" s="1"/>
  <c r="J13" i="12"/>
  <c r="K13" i="12" s="1"/>
  <c r="H2" i="12"/>
  <c r="I2" i="12" s="1"/>
  <c r="J2" i="12" s="1"/>
  <c r="H20" i="12"/>
  <c r="I20" i="12" s="1"/>
  <c r="J20" i="12" s="1"/>
  <c r="K20" i="12" s="1"/>
  <c r="H9" i="12"/>
  <c r="I9" i="12" s="1"/>
  <c r="J9" i="12" s="1"/>
  <c r="K9" i="12" s="1"/>
  <c r="H16" i="12"/>
  <c r="I16" i="12" s="1"/>
  <c r="J16" i="12" s="1"/>
  <c r="K16" i="12" s="1"/>
  <c r="H10" i="12"/>
  <c r="I10" i="12" s="1"/>
  <c r="J10" i="12" s="1"/>
  <c r="K10" i="12" s="1"/>
  <c r="H23" i="12"/>
  <c r="I23" i="12" s="1"/>
  <c r="J23" i="12" s="1"/>
  <c r="K23" i="12" s="1"/>
  <c r="J17" i="12"/>
  <c r="K17" i="12" s="1"/>
  <c r="H6" i="12"/>
  <c r="I6" i="12" s="1"/>
  <c r="J6" i="12" s="1"/>
  <c r="K6" i="12" s="1"/>
  <c r="H24" i="12"/>
  <c r="I24" i="12" s="1"/>
  <c r="J24" i="12" s="1"/>
  <c r="K24" i="12" s="1"/>
  <c r="H26" i="12"/>
  <c r="I26" i="12" s="1"/>
  <c r="J26" i="12" s="1"/>
  <c r="K26" i="12" s="1"/>
  <c r="H25" i="12"/>
  <c r="I25" i="12" s="1"/>
  <c r="J25" i="12" s="1"/>
  <c r="K25" i="12" s="1"/>
  <c r="H28" i="12"/>
  <c r="I28" i="12" s="1"/>
  <c r="J28" i="12" s="1"/>
  <c r="K28" i="12" s="1"/>
  <c r="H19" i="12"/>
  <c r="I19" i="12" s="1"/>
  <c r="J19" i="12" s="1"/>
  <c r="K19" i="12" s="1"/>
  <c r="H12" i="12"/>
  <c r="I12" i="12" s="1"/>
  <c r="J12" i="12" s="1"/>
  <c r="K12" i="12" s="1"/>
  <c r="H5" i="12"/>
  <c r="I5" i="12" s="1"/>
  <c r="J5" i="12" s="1"/>
  <c r="K5" i="12" s="1"/>
  <c r="H29" i="12"/>
  <c r="I29" i="12" s="1"/>
  <c r="J29" i="12" s="1"/>
  <c r="K29" i="12" s="1"/>
  <c r="H22" i="12"/>
  <c r="I22" i="12" s="1"/>
  <c r="J22" i="12" s="1"/>
  <c r="K22" i="12" s="1"/>
  <c r="H15" i="12"/>
  <c r="I15" i="12" s="1"/>
  <c r="J15" i="12" s="1"/>
  <c r="K15" i="12" s="1"/>
  <c r="H8" i="12"/>
  <c r="I8" i="12" s="1"/>
  <c r="J8" i="12" s="1"/>
  <c r="K8" i="12" s="1"/>
  <c r="H18" i="12"/>
  <c r="I18" i="12" s="1"/>
  <c r="J18" i="12" s="1"/>
  <c r="K18" i="12" s="1"/>
  <c r="H11" i="12"/>
  <c r="I11" i="12" s="1"/>
  <c r="J11" i="12" s="1"/>
  <c r="K11" i="12" s="1"/>
  <c r="H4" i="12"/>
  <c r="I4" i="12" s="1"/>
  <c r="J4" i="12" s="1"/>
  <c r="K4" i="12" s="1"/>
  <c r="H21" i="12"/>
  <c r="I21" i="12" s="1"/>
  <c r="J21" i="12" s="1"/>
  <c r="K21" i="12" s="1"/>
  <c r="H14" i="12"/>
  <c r="I14" i="12" s="1"/>
  <c r="J14" i="12" s="1"/>
  <c r="K14" i="12" s="1"/>
  <c r="H7" i="12"/>
  <c r="I7" i="12" s="1"/>
  <c r="J7" i="12" s="1"/>
  <c r="K7" i="12" s="1"/>
  <c r="H3" i="12"/>
  <c r="I3" i="12" s="1"/>
  <c r="J3" i="12" s="1"/>
  <c r="K3" i="12" s="1"/>
  <c r="H27" i="11"/>
  <c r="I27" i="11" s="1"/>
  <c r="J27" i="11" s="1"/>
  <c r="K27" i="11" s="1"/>
  <c r="H19" i="11"/>
  <c r="I19" i="11" s="1"/>
  <c r="J19" i="11" s="1"/>
  <c r="K19" i="11" s="1"/>
  <c r="H26" i="11"/>
  <c r="I26" i="11" s="1"/>
  <c r="J26" i="11" s="1"/>
  <c r="K26" i="11" s="1"/>
  <c r="H7" i="11"/>
  <c r="I7" i="11" s="1"/>
  <c r="J7" i="11" s="1"/>
  <c r="K7" i="11" s="1"/>
  <c r="H14" i="11"/>
  <c r="I14" i="11" s="1"/>
  <c r="J14" i="11" s="1"/>
  <c r="K14" i="11" s="1"/>
  <c r="H21" i="11"/>
  <c r="I21" i="11" s="1"/>
  <c r="J21" i="11" s="1"/>
  <c r="K21" i="11" s="1"/>
  <c r="H4" i="11"/>
  <c r="I4" i="11" s="1"/>
  <c r="J4" i="11" s="1"/>
  <c r="K4" i="11" s="1"/>
  <c r="H11" i="11"/>
  <c r="I11" i="11" s="1"/>
  <c r="J11" i="11" s="1"/>
  <c r="K11" i="11" s="1"/>
  <c r="H18" i="11"/>
  <c r="I18" i="11" s="1"/>
  <c r="J18" i="11" s="1"/>
  <c r="K18" i="11" s="1"/>
  <c r="H25" i="11"/>
  <c r="I25" i="11" s="1"/>
  <c r="J25" i="11" s="1"/>
  <c r="K25" i="11" s="1"/>
  <c r="H8" i="11"/>
  <c r="I8" i="11" s="1"/>
  <c r="J8" i="11" s="1"/>
  <c r="K8" i="11" s="1"/>
  <c r="H15" i="11"/>
  <c r="I15" i="11" s="1"/>
  <c r="J15" i="11" s="1"/>
  <c r="K15" i="11" s="1"/>
  <c r="H22" i="11"/>
  <c r="I22" i="11" s="1"/>
  <c r="J22" i="11" s="1"/>
  <c r="K22" i="11" s="1"/>
  <c r="H3" i="11"/>
  <c r="I3" i="11" s="1"/>
  <c r="J3" i="11" s="1"/>
  <c r="K3" i="11" s="1"/>
  <c r="H10" i="11"/>
  <c r="I10" i="11" s="1"/>
  <c r="J10" i="11" s="1"/>
  <c r="K10" i="11" s="1"/>
  <c r="H17" i="11"/>
  <c r="I17" i="11" s="1"/>
  <c r="J17" i="11" s="1"/>
  <c r="K17" i="11" s="1"/>
  <c r="H24" i="11"/>
  <c r="I24" i="11" s="1"/>
  <c r="J24" i="11" s="1"/>
  <c r="K24" i="11" s="1"/>
  <c r="H5" i="11"/>
  <c r="I5" i="11" s="1"/>
  <c r="J5" i="11" s="1"/>
  <c r="K5" i="11" s="1"/>
  <c r="H12" i="11"/>
  <c r="I12" i="11" s="1"/>
  <c r="J12" i="11" s="1"/>
  <c r="K12" i="11" s="1"/>
  <c r="H2" i="11"/>
  <c r="I2" i="11" s="1"/>
  <c r="J2" i="11" s="1"/>
  <c r="H9" i="11"/>
  <c r="I9" i="11" s="1"/>
  <c r="J9" i="11" s="1"/>
  <c r="K9" i="11" s="1"/>
  <c r="H16" i="11"/>
  <c r="I16" i="11" s="1"/>
  <c r="J16" i="11" s="1"/>
  <c r="K16" i="11" s="1"/>
  <c r="H23" i="11"/>
  <c r="I23" i="11" s="1"/>
  <c r="J23" i="11" s="1"/>
  <c r="K23" i="11" s="1"/>
  <c r="H6" i="11"/>
  <c r="I6" i="11" s="1"/>
  <c r="J6" i="11" s="1"/>
  <c r="K6" i="11" s="1"/>
  <c r="H13" i="11"/>
  <c r="I13" i="11" s="1"/>
  <c r="J13" i="11" s="1"/>
  <c r="K13" i="11" s="1"/>
  <c r="H20" i="11"/>
  <c r="I20" i="11" s="1"/>
  <c r="J20" i="11" s="1"/>
  <c r="K20" i="11" s="1"/>
  <c r="H26" i="10"/>
  <c r="I26" i="10" s="1"/>
  <c r="H12" i="10"/>
  <c r="I12" i="10" s="1"/>
  <c r="H15" i="10"/>
  <c r="I15" i="10" s="1"/>
  <c r="J15" i="10" s="1"/>
  <c r="K15" i="10" s="1"/>
  <c r="J26" i="10"/>
  <c r="K26" i="10" s="1"/>
  <c r="J12" i="10"/>
  <c r="K12" i="10" s="1"/>
  <c r="H5" i="10"/>
  <c r="I5" i="10" s="1"/>
  <c r="J5" i="10" s="1"/>
  <c r="K5" i="10" s="1"/>
  <c r="H19" i="10"/>
  <c r="I19" i="10" s="1"/>
  <c r="J19" i="10" s="1"/>
  <c r="K19" i="10" s="1"/>
  <c r="H8" i="10"/>
  <c r="I8" i="10" s="1"/>
  <c r="J8" i="10" s="1"/>
  <c r="K8" i="10" s="1"/>
  <c r="H18" i="10"/>
  <c r="I18" i="10" s="1"/>
  <c r="J18" i="10" s="1"/>
  <c r="K18" i="10" s="1"/>
  <c r="H23" i="10"/>
  <c r="I23" i="10" s="1"/>
  <c r="J23" i="10" s="1"/>
  <c r="K23" i="10" s="1"/>
  <c r="H25" i="10"/>
  <c r="I25" i="10" s="1"/>
  <c r="J25" i="10" s="1"/>
  <c r="K25" i="10" s="1"/>
  <c r="H2" i="10"/>
  <c r="I2" i="10" s="1"/>
  <c r="J2" i="10" s="1"/>
  <c r="H9" i="10"/>
  <c r="I9" i="10" s="1"/>
  <c r="J9" i="10" s="1"/>
  <c r="K9" i="10" s="1"/>
  <c r="H16" i="10"/>
  <c r="I16" i="10" s="1"/>
  <c r="J16" i="10" s="1"/>
  <c r="K16" i="10" s="1"/>
  <c r="H6" i="10"/>
  <c r="I6" i="10" s="1"/>
  <c r="J6" i="10" s="1"/>
  <c r="K6" i="10" s="1"/>
  <c r="H13" i="10"/>
  <c r="I13" i="10" s="1"/>
  <c r="J13" i="10" s="1"/>
  <c r="K13" i="10" s="1"/>
  <c r="H20" i="10"/>
  <c r="I20" i="10" s="1"/>
  <c r="J20" i="10" s="1"/>
  <c r="K20" i="10" s="1"/>
  <c r="H27" i="10"/>
  <c r="I27" i="10" s="1"/>
  <c r="J27" i="10" s="1"/>
  <c r="K27" i="10" s="1"/>
  <c r="H3" i="10"/>
  <c r="I3" i="10" s="1"/>
  <c r="J3" i="10" s="1"/>
  <c r="K3" i="10" s="1"/>
  <c r="H10" i="10"/>
  <c r="I10" i="10" s="1"/>
  <c r="J10" i="10" s="1"/>
  <c r="K10" i="10" s="1"/>
  <c r="H17" i="10"/>
  <c r="I17" i="10" s="1"/>
  <c r="J17" i="10" s="1"/>
  <c r="K17" i="10" s="1"/>
  <c r="H24" i="10"/>
  <c r="I24" i="10" s="1"/>
  <c r="J24" i="10" s="1"/>
  <c r="K24" i="10" s="1"/>
  <c r="H7" i="10"/>
  <c r="I7" i="10" s="1"/>
  <c r="J7" i="10" s="1"/>
  <c r="K7" i="10" s="1"/>
  <c r="H14" i="10"/>
  <c r="I14" i="10" s="1"/>
  <c r="J14" i="10" s="1"/>
  <c r="K14" i="10" s="1"/>
  <c r="H21" i="10"/>
  <c r="I21" i="10" s="1"/>
  <c r="J21" i="10" s="1"/>
  <c r="K21" i="10" s="1"/>
  <c r="H4" i="10"/>
  <c r="I4" i="10" s="1"/>
  <c r="J4" i="10" s="1"/>
  <c r="K4" i="10" s="1"/>
  <c r="H11" i="10"/>
  <c r="I11" i="10" s="1"/>
  <c r="J11" i="10" s="1"/>
  <c r="K11" i="10" s="1"/>
  <c r="H23" i="9"/>
  <c r="I23" i="9" s="1"/>
  <c r="J23" i="9" s="1"/>
  <c r="K23" i="9" s="1"/>
  <c r="H20" i="9"/>
  <c r="I20" i="9" s="1"/>
  <c r="H28" i="9"/>
  <c r="I28" i="9" s="1"/>
  <c r="J28" i="9" s="1"/>
  <c r="K28" i="9" s="1"/>
  <c r="H27" i="9"/>
  <c r="I27" i="9" s="1"/>
  <c r="J27" i="9" s="1"/>
  <c r="K27" i="9" s="1"/>
  <c r="J20" i="9"/>
  <c r="K20" i="9" s="1"/>
  <c r="J12" i="9"/>
  <c r="K12" i="9" s="1"/>
  <c r="H24" i="9"/>
  <c r="I24" i="9" s="1"/>
  <c r="J24" i="9" s="1"/>
  <c r="K24" i="9" s="1"/>
  <c r="H19" i="9"/>
  <c r="I19" i="9" s="1"/>
  <c r="J19" i="9" s="1"/>
  <c r="K19" i="9" s="1"/>
  <c r="H2" i="9"/>
  <c r="I2" i="9" s="1"/>
  <c r="J2" i="9" s="1"/>
  <c r="H9" i="9"/>
  <c r="I9" i="9" s="1"/>
  <c r="J9" i="9" s="1"/>
  <c r="K9" i="9" s="1"/>
  <c r="H16" i="9"/>
  <c r="I16" i="9" s="1"/>
  <c r="J16" i="9" s="1"/>
  <c r="K16" i="9" s="1"/>
  <c r="H17" i="9"/>
  <c r="I17" i="9" s="1"/>
  <c r="J17" i="9" s="1"/>
  <c r="K17" i="9" s="1"/>
  <c r="H7" i="9"/>
  <c r="I7" i="9" s="1"/>
  <c r="J7" i="9" s="1"/>
  <c r="K7" i="9" s="1"/>
  <c r="H21" i="9"/>
  <c r="I21" i="9" s="1"/>
  <c r="J21" i="9" s="1"/>
  <c r="K21" i="9" s="1"/>
  <c r="H11" i="9"/>
  <c r="I11" i="9" s="1"/>
  <c r="J11" i="9" s="1"/>
  <c r="K11" i="9" s="1"/>
  <c r="H25" i="9"/>
  <c r="I25" i="9" s="1"/>
  <c r="J25" i="9" s="1"/>
  <c r="K25" i="9" s="1"/>
  <c r="H8" i="9"/>
  <c r="I8" i="9" s="1"/>
  <c r="J8" i="9" s="1"/>
  <c r="K8" i="9" s="1"/>
  <c r="H15" i="9"/>
  <c r="I15" i="9" s="1"/>
  <c r="J15" i="9" s="1"/>
  <c r="K15" i="9" s="1"/>
  <c r="H26" i="9"/>
  <c r="I26" i="9" s="1"/>
  <c r="J26" i="9" s="1"/>
  <c r="K26" i="9" s="1"/>
  <c r="H6" i="9"/>
  <c r="I6" i="9" s="1"/>
  <c r="J6" i="9" s="1"/>
  <c r="K6" i="9" s="1"/>
  <c r="H13" i="9"/>
  <c r="I13" i="9" s="1"/>
  <c r="J13" i="9" s="1"/>
  <c r="K13" i="9" s="1"/>
  <c r="H3" i="9"/>
  <c r="I3" i="9" s="1"/>
  <c r="J3" i="9" s="1"/>
  <c r="K3" i="9" s="1"/>
  <c r="H10" i="9"/>
  <c r="I10" i="9" s="1"/>
  <c r="J10" i="9" s="1"/>
  <c r="K10" i="9" s="1"/>
  <c r="H14" i="9"/>
  <c r="I14" i="9" s="1"/>
  <c r="J14" i="9" s="1"/>
  <c r="K14" i="9" s="1"/>
  <c r="H4" i="9"/>
  <c r="I4" i="9" s="1"/>
  <c r="J4" i="9" s="1"/>
  <c r="K4" i="9" s="1"/>
  <c r="H18" i="9"/>
  <c r="I18" i="9" s="1"/>
  <c r="J18" i="9" s="1"/>
  <c r="K18" i="9" s="1"/>
  <c r="H22" i="9"/>
  <c r="I22" i="9" s="1"/>
  <c r="J22" i="9" s="1"/>
  <c r="K22" i="9" s="1"/>
  <c r="H5" i="9"/>
  <c r="I5" i="9" s="1"/>
  <c r="J5" i="9" s="1"/>
  <c r="K5" i="9" s="1"/>
  <c r="H26" i="8"/>
  <c r="I26" i="8" s="1"/>
  <c r="J26" i="8"/>
  <c r="K26" i="8" s="1"/>
  <c r="H17" i="8"/>
  <c r="I17" i="8" s="1"/>
  <c r="J17" i="8" s="1"/>
  <c r="K17" i="8" s="1"/>
  <c r="H7" i="8"/>
  <c r="I7" i="8" s="1"/>
  <c r="J7" i="8" s="1"/>
  <c r="K7" i="8" s="1"/>
  <c r="H14" i="8"/>
  <c r="I14" i="8" s="1"/>
  <c r="J14" i="8" s="1"/>
  <c r="K14" i="8" s="1"/>
  <c r="H21" i="8"/>
  <c r="I21" i="8" s="1"/>
  <c r="J21" i="8" s="1"/>
  <c r="K21" i="8" s="1"/>
  <c r="H4" i="8"/>
  <c r="I4" i="8" s="1"/>
  <c r="J4" i="8" s="1"/>
  <c r="K4" i="8" s="1"/>
  <c r="H11" i="8"/>
  <c r="I11" i="8" s="1"/>
  <c r="J11" i="8" s="1"/>
  <c r="K11" i="8" s="1"/>
  <c r="H18" i="8"/>
  <c r="I18" i="8" s="1"/>
  <c r="J18" i="8" s="1"/>
  <c r="K18" i="8" s="1"/>
  <c r="H25" i="8"/>
  <c r="I25" i="8" s="1"/>
  <c r="J25" i="8" s="1"/>
  <c r="K25" i="8" s="1"/>
  <c r="H6" i="8"/>
  <c r="I6" i="8" s="1"/>
  <c r="J6" i="8" s="1"/>
  <c r="K6" i="8" s="1"/>
  <c r="H13" i="8"/>
  <c r="I13" i="8" s="1"/>
  <c r="J13" i="8" s="1"/>
  <c r="K13" i="8" s="1"/>
  <c r="H20" i="8"/>
  <c r="I20" i="8" s="1"/>
  <c r="J20" i="8" s="1"/>
  <c r="K20" i="8" s="1"/>
  <c r="H3" i="8"/>
  <c r="I3" i="8" s="1"/>
  <c r="J3" i="8" s="1"/>
  <c r="K3" i="8" s="1"/>
  <c r="H10" i="8"/>
  <c r="I10" i="8" s="1"/>
  <c r="J10" i="8" s="1"/>
  <c r="K10" i="8" s="1"/>
  <c r="H24" i="8"/>
  <c r="I24" i="8" s="1"/>
  <c r="J24" i="8" s="1"/>
  <c r="K24" i="8" s="1"/>
  <c r="H8" i="8"/>
  <c r="I8" i="8" s="1"/>
  <c r="J8" i="8" s="1"/>
  <c r="K8" i="8" s="1"/>
  <c r="H15" i="8"/>
  <c r="I15" i="8" s="1"/>
  <c r="J15" i="8" s="1"/>
  <c r="K15" i="8" s="1"/>
  <c r="H22" i="8"/>
  <c r="I22" i="8" s="1"/>
  <c r="J22" i="8" s="1"/>
  <c r="K22" i="8" s="1"/>
  <c r="H5" i="8"/>
  <c r="I5" i="8" s="1"/>
  <c r="J5" i="8" s="1"/>
  <c r="K5" i="8" s="1"/>
  <c r="H12" i="8"/>
  <c r="I12" i="8" s="1"/>
  <c r="J12" i="8" s="1"/>
  <c r="K12" i="8" s="1"/>
  <c r="H19" i="8"/>
  <c r="I19" i="8" s="1"/>
  <c r="J19" i="8" s="1"/>
  <c r="K19" i="8" s="1"/>
  <c r="H2" i="8"/>
  <c r="I2" i="8" s="1"/>
  <c r="J2" i="8" s="1"/>
  <c r="H9" i="8"/>
  <c r="I9" i="8" s="1"/>
  <c r="J9" i="8" s="1"/>
  <c r="K9" i="8" s="1"/>
  <c r="H16" i="8"/>
  <c r="I16" i="8" s="1"/>
  <c r="J16" i="8" s="1"/>
  <c r="K16" i="8" s="1"/>
  <c r="H23" i="8"/>
  <c r="I23" i="8" s="1"/>
  <c r="J23" i="8" s="1"/>
  <c r="K23" i="8" s="1"/>
  <c r="H27" i="7"/>
  <c r="I27" i="7" s="1"/>
  <c r="J27" i="7" s="1"/>
  <c r="K27" i="7" s="1"/>
  <c r="H30" i="7"/>
  <c r="I30" i="7" s="1"/>
  <c r="J30" i="7" s="1"/>
  <c r="K30" i="7" s="1"/>
  <c r="H6" i="7"/>
  <c r="I6" i="7" s="1"/>
  <c r="J6" i="7" s="1"/>
  <c r="K6" i="7" s="1"/>
  <c r="H13" i="7"/>
  <c r="I13" i="7" s="1"/>
  <c r="J13" i="7" s="1"/>
  <c r="K13" i="7" s="1"/>
  <c r="H20" i="7"/>
  <c r="I20" i="7" s="1"/>
  <c r="J20" i="7" s="1"/>
  <c r="K20" i="7" s="1"/>
  <c r="H3" i="7"/>
  <c r="I3" i="7" s="1"/>
  <c r="J3" i="7" s="1"/>
  <c r="K3" i="7" s="1"/>
  <c r="H10" i="7"/>
  <c r="I10" i="7" s="1"/>
  <c r="J10" i="7" s="1"/>
  <c r="K10" i="7" s="1"/>
  <c r="H17" i="7"/>
  <c r="I17" i="7" s="1"/>
  <c r="J17" i="7" s="1"/>
  <c r="K17" i="7" s="1"/>
  <c r="H7" i="7"/>
  <c r="I7" i="7" s="1"/>
  <c r="J7" i="7" s="1"/>
  <c r="K7" i="7" s="1"/>
  <c r="H14" i="7"/>
  <c r="I14" i="7" s="1"/>
  <c r="J14" i="7" s="1"/>
  <c r="K14" i="7" s="1"/>
  <c r="H21" i="7"/>
  <c r="I21" i="7" s="1"/>
  <c r="J21" i="7" s="1"/>
  <c r="K21" i="7" s="1"/>
  <c r="H28" i="7"/>
  <c r="I28" i="7" s="1"/>
  <c r="J28" i="7" s="1"/>
  <c r="K28" i="7" s="1"/>
  <c r="H24" i="7"/>
  <c r="I24" i="7" s="1"/>
  <c r="J24" i="7" s="1"/>
  <c r="K24" i="7" s="1"/>
  <c r="H22" i="7"/>
  <c r="I22" i="7" s="1"/>
  <c r="J22" i="7" s="1"/>
  <c r="K22" i="7" s="1"/>
  <c r="H4" i="7"/>
  <c r="I4" i="7" s="1"/>
  <c r="J4" i="7" s="1"/>
  <c r="K4" i="7" s="1"/>
  <c r="H11" i="7"/>
  <c r="I11" i="7" s="1"/>
  <c r="J11" i="7" s="1"/>
  <c r="K11" i="7" s="1"/>
  <c r="H18" i="7"/>
  <c r="I18" i="7" s="1"/>
  <c r="J18" i="7" s="1"/>
  <c r="K18" i="7" s="1"/>
  <c r="H25" i="7"/>
  <c r="I25" i="7" s="1"/>
  <c r="J25" i="7" s="1"/>
  <c r="K25" i="7" s="1"/>
  <c r="H8" i="7"/>
  <c r="I8" i="7" s="1"/>
  <c r="J8" i="7" s="1"/>
  <c r="K8" i="7" s="1"/>
  <c r="H15" i="7"/>
  <c r="I15" i="7" s="1"/>
  <c r="J15" i="7" s="1"/>
  <c r="K15" i="7" s="1"/>
  <c r="H29" i="7"/>
  <c r="I29" i="7" s="1"/>
  <c r="J29" i="7" s="1"/>
  <c r="K29" i="7" s="1"/>
  <c r="H5" i="7"/>
  <c r="I5" i="7" s="1"/>
  <c r="J5" i="7" s="1"/>
  <c r="K5" i="7" s="1"/>
  <c r="H12" i="7"/>
  <c r="I12" i="7" s="1"/>
  <c r="J12" i="7" s="1"/>
  <c r="K12" i="7" s="1"/>
  <c r="H19" i="7"/>
  <c r="I19" i="7" s="1"/>
  <c r="J19" i="7" s="1"/>
  <c r="K19" i="7" s="1"/>
  <c r="H26" i="7"/>
  <c r="I26" i="7" s="1"/>
  <c r="J26" i="7" s="1"/>
  <c r="K26" i="7" s="1"/>
  <c r="H2" i="7"/>
  <c r="I2" i="7" s="1"/>
  <c r="J2" i="7" s="1"/>
  <c r="H9" i="7"/>
  <c r="I9" i="7" s="1"/>
  <c r="J9" i="7" s="1"/>
  <c r="K9" i="7" s="1"/>
  <c r="H16" i="7"/>
  <c r="I16" i="7" s="1"/>
  <c r="J16" i="7" s="1"/>
  <c r="K16" i="7" s="1"/>
  <c r="H23" i="7"/>
  <c r="I23" i="7" s="1"/>
  <c r="J23" i="7" s="1"/>
  <c r="K23" i="7" s="1"/>
  <c r="H28" i="6"/>
  <c r="I28" i="6" s="1"/>
  <c r="J28" i="6" s="1"/>
  <c r="K28" i="6" s="1"/>
  <c r="H2" i="6"/>
  <c r="I2" i="6" s="1"/>
  <c r="J2" i="6" s="1"/>
  <c r="H24" i="6"/>
  <c r="I24" i="6" s="1"/>
  <c r="J24" i="6" s="1"/>
  <c r="K24" i="6" s="1"/>
  <c r="K2" i="6"/>
  <c r="J3" i="6"/>
  <c r="K3" i="6" s="1"/>
  <c r="H7" i="6"/>
  <c r="I7" i="6" s="1"/>
  <c r="J7" i="6" s="1"/>
  <c r="K7" i="6" s="1"/>
  <c r="H14" i="6"/>
  <c r="I14" i="6" s="1"/>
  <c r="J14" i="6" s="1"/>
  <c r="K14" i="6" s="1"/>
  <c r="H21" i="6"/>
  <c r="I21" i="6" s="1"/>
  <c r="J21" i="6" s="1"/>
  <c r="K21" i="6" s="1"/>
  <c r="H4" i="6"/>
  <c r="I4" i="6" s="1"/>
  <c r="J4" i="6" s="1"/>
  <c r="K4" i="6" s="1"/>
  <c r="H11" i="6"/>
  <c r="I11" i="6" s="1"/>
  <c r="J11" i="6" s="1"/>
  <c r="K11" i="6" s="1"/>
  <c r="H18" i="6"/>
  <c r="I18" i="6" s="1"/>
  <c r="J18" i="6" s="1"/>
  <c r="K18" i="6" s="1"/>
  <c r="H25" i="6"/>
  <c r="I25" i="6" s="1"/>
  <c r="J25" i="6" s="1"/>
  <c r="K25" i="6" s="1"/>
  <c r="H32" i="6"/>
  <c r="I32" i="6" s="1"/>
  <c r="J32" i="6" s="1"/>
  <c r="K32" i="6" s="1"/>
  <c r="H8" i="6"/>
  <c r="I8" i="6" s="1"/>
  <c r="J8" i="6" s="1"/>
  <c r="K8" i="6" s="1"/>
  <c r="H15" i="6"/>
  <c r="I15" i="6" s="1"/>
  <c r="J15" i="6" s="1"/>
  <c r="K15" i="6" s="1"/>
  <c r="H22" i="6"/>
  <c r="I22" i="6" s="1"/>
  <c r="J22" i="6" s="1"/>
  <c r="K22" i="6" s="1"/>
  <c r="H29" i="6"/>
  <c r="I29" i="6" s="1"/>
  <c r="J29" i="6" s="1"/>
  <c r="K29" i="6" s="1"/>
  <c r="H5" i="6"/>
  <c r="I5" i="6" s="1"/>
  <c r="J5" i="6" s="1"/>
  <c r="K5" i="6" s="1"/>
  <c r="H12" i="6"/>
  <c r="I12" i="6" s="1"/>
  <c r="J12" i="6" s="1"/>
  <c r="K12" i="6" s="1"/>
  <c r="H19" i="6"/>
  <c r="I19" i="6" s="1"/>
  <c r="J19" i="6" s="1"/>
  <c r="K19" i="6" s="1"/>
  <c r="H26" i="6"/>
  <c r="I26" i="6" s="1"/>
  <c r="J26" i="6" s="1"/>
  <c r="K26" i="6" s="1"/>
  <c r="H33" i="6"/>
  <c r="I33" i="6" s="1"/>
  <c r="J33" i="6" s="1"/>
  <c r="K33" i="6" s="1"/>
  <c r="H30" i="6"/>
  <c r="I30" i="6" s="1"/>
  <c r="J30" i="6" s="1"/>
  <c r="K30" i="6" s="1"/>
  <c r="H31" i="6"/>
  <c r="I31" i="6" s="1"/>
  <c r="J31" i="6" s="1"/>
  <c r="K31" i="6" s="1"/>
  <c r="H9" i="6"/>
  <c r="I9" i="6" s="1"/>
  <c r="J9" i="6" s="1"/>
  <c r="K9" i="6" s="1"/>
  <c r="H16" i="6"/>
  <c r="I16" i="6" s="1"/>
  <c r="J16" i="6" s="1"/>
  <c r="K16" i="6" s="1"/>
  <c r="H23" i="6"/>
  <c r="I23" i="6" s="1"/>
  <c r="J23" i="6" s="1"/>
  <c r="K23" i="6" s="1"/>
  <c r="H6" i="6"/>
  <c r="I6" i="6" s="1"/>
  <c r="J6" i="6" s="1"/>
  <c r="K6" i="6" s="1"/>
  <c r="H13" i="6"/>
  <c r="I13" i="6" s="1"/>
  <c r="J13" i="6" s="1"/>
  <c r="K13" i="6" s="1"/>
  <c r="H20" i="6"/>
  <c r="I20" i="6" s="1"/>
  <c r="J20" i="6" s="1"/>
  <c r="K20" i="6" s="1"/>
  <c r="H27" i="6"/>
  <c r="I27" i="6" s="1"/>
  <c r="J27" i="6" s="1"/>
  <c r="K27" i="6" s="1"/>
  <c r="H10" i="6"/>
  <c r="I10" i="6" s="1"/>
  <c r="J10" i="6" s="1"/>
  <c r="K10" i="6" s="1"/>
  <c r="H17" i="6"/>
  <c r="I17" i="6" s="1"/>
  <c r="J17" i="6" s="1"/>
  <c r="K17" i="6" s="1"/>
  <c r="H32" i="5"/>
  <c r="I32" i="5" s="1"/>
  <c r="J32" i="5" s="1"/>
  <c r="H28" i="5"/>
  <c r="I28" i="5" s="1"/>
  <c r="J28" i="5" s="1"/>
  <c r="H24" i="5"/>
  <c r="I24" i="5" s="1"/>
  <c r="J24" i="5" s="1"/>
  <c r="H20" i="5"/>
  <c r="I20" i="5" s="1"/>
  <c r="J20" i="5" s="1"/>
  <c r="H16" i="5"/>
  <c r="I16" i="5" s="1"/>
  <c r="J16" i="5" s="1"/>
  <c r="K16" i="5" s="1"/>
  <c r="H12" i="5"/>
  <c r="I12" i="5" s="1"/>
  <c r="J12" i="5" s="1"/>
  <c r="H8" i="5"/>
  <c r="I8" i="5" s="1"/>
  <c r="J8" i="5" s="1"/>
  <c r="H4" i="5"/>
  <c r="I4" i="5" s="1"/>
  <c r="J4" i="5" s="1"/>
  <c r="H19" i="5"/>
  <c r="I19" i="5" s="1"/>
  <c r="J19" i="5" s="1"/>
  <c r="H30" i="5"/>
  <c r="I30" i="5" s="1"/>
  <c r="J30" i="5" s="1"/>
  <c r="K30" i="5" s="1"/>
  <c r="H26" i="5"/>
  <c r="I26" i="5" s="1"/>
  <c r="J26" i="5" s="1"/>
  <c r="H22" i="5"/>
  <c r="I22" i="5" s="1"/>
  <c r="J22" i="5" s="1"/>
  <c r="H18" i="5"/>
  <c r="I18" i="5" s="1"/>
  <c r="J18" i="5" s="1"/>
  <c r="K18" i="5" s="1"/>
  <c r="H14" i="5"/>
  <c r="I14" i="5" s="1"/>
  <c r="J14" i="5" s="1"/>
  <c r="K14" i="5" s="1"/>
  <c r="H10" i="5"/>
  <c r="I10" i="5" s="1"/>
  <c r="J10" i="5" s="1"/>
  <c r="K10" i="5" s="1"/>
  <c r="H31" i="5"/>
  <c r="I31" i="5" s="1"/>
  <c r="J31" i="5" s="1"/>
  <c r="H27" i="5"/>
  <c r="I27" i="5" s="1"/>
  <c r="J27" i="5" s="1"/>
  <c r="H7" i="5"/>
  <c r="I7" i="5" s="1"/>
  <c r="J7" i="5" s="1"/>
  <c r="K7" i="5" s="1"/>
  <c r="H15" i="5"/>
  <c r="I15" i="5" s="1"/>
  <c r="J15" i="5" s="1"/>
  <c r="H11" i="5"/>
  <c r="I11" i="5" s="1"/>
  <c r="J11" i="5" s="1"/>
  <c r="K11" i="5" s="1"/>
  <c r="K31" i="5"/>
  <c r="K28" i="5"/>
  <c r="K26" i="5"/>
  <c r="K25" i="5"/>
  <c r="K8" i="5"/>
  <c r="K15" i="5"/>
  <c r="K22" i="5"/>
  <c r="K29" i="5"/>
  <c r="K33" i="5"/>
  <c r="K9" i="5"/>
  <c r="K23" i="5"/>
  <c r="K21" i="5"/>
  <c r="K4" i="5"/>
  <c r="K32" i="5"/>
  <c r="K5" i="5"/>
  <c r="K12" i="5"/>
  <c r="K19" i="5"/>
  <c r="K6" i="5"/>
  <c r="K13" i="5"/>
  <c r="K20" i="5"/>
  <c r="K27" i="5"/>
  <c r="K3" i="5"/>
  <c r="K17" i="5"/>
  <c r="K24" i="5"/>
  <c r="G30" i="4"/>
  <c r="G26" i="4"/>
  <c r="G2" i="4"/>
  <c r="G3" i="4"/>
  <c r="J38" i="23" l="1"/>
  <c r="C21" i="24" s="1"/>
  <c r="K2" i="23"/>
  <c r="J37" i="23" s="1"/>
  <c r="B21" i="24" s="1"/>
  <c r="J38" i="22"/>
  <c r="C20" i="24" s="1"/>
  <c r="K2" i="22"/>
  <c r="J37" i="22" s="1"/>
  <c r="B20" i="24" s="1"/>
  <c r="J38" i="21"/>
  <c r="C19" i="24" s="1"/>
  <c r="K2" i="21"/>
  <c r="J37" i="21" s="1"/>
  <c r="B19" i="24" s="1"/>
  <c r="J38" i="20"/>
  <c r="C18" i="24" s="1"/>
  <c r="K2" i="20"/>
  <c r="J37" i="20" s="1"/>
  <c r="B18" i="24" s="1"/>
  <c r="J38" i="19"/>
  <c r="C17" i="24" s="1"/>
  <c r="K2" i="19"/>
  <c r="J37" i="19" s="1"/>
  <c r="B17" i="24" s="1"/>
  <c r="J38" i="18"/>
  <c r="C16" i="24" s="1"/>
  <c r="K2" i="18"/>
  <c r="J37" i="18" s="1"/>
  <c r="B16" i="24" s="1"/>
  <c r="J38" i="17"/>
  <c r="C15" i="24" s="1"/>
  <c r="K2" i="17"/>
  <c r="J37" i="17" s="1"/>
  <c r="B15" i="24" s="1"/>
  <c r="J38" i="16"/>
  <c r="C14" i="24" s="1"/>
  <c r="K2" i="16"/>
  <c r="J37" i="16" s="1"/>
  <c r="B14" i="24" s="1"/>
  <c r="J38" i="15"/>
  <c r="C13" i="24" s="1"/>
  <c r="K2" i="15"/>
  <c r="J37" i="15" s="1"/>
  <c r="B13" i="24" s="1"/>
  <c r="J38" i="14"/>
  <c r="C12" i="24" s="1"/>
  <c r="K2" i="14"/>
  <c r="J37" i="14" s="1"/>
  <c r="B12" i="24" s="1"/>
  <c r="J37" i="13"/>
  <c r="B11" i="24" s="1"/>
  <c r="J38" i="13"/>
  <c r="C11" i="24" s="1"/>
  <c r="J38" i="12"/>
  <c r="C10" i="24" s="1"/>
  <c r="K2" i="12"/>
  <c r="J37" i="12" s="1"/>
  <c r="B10" i="24" s="1"/>
  <c r="J38" i="11"/>
  <c r="C9" i="24" s="1"/>
  <c r="K2" i="11"/>
  <c r="J37" i="11" s="1"/>
  <c r="B9" i="24" s="1"/>
  <c r="J38" i="10"/>
  <c r="C8" i="24" s="1"/>
  <c r="K2" i="10"/>
  <c r="J37" i="10" s="1"/>
  <c r="B8" i="24" s="1"/>
  <c r="J38" i="9"/>
  <c r="C7" i="24" s="1"/>
  <c r="K2" i="9"/>
  <c r="J37" i="9" s="1"/>
  <c r="B7" i="24" s="1"/>
  <c r="J38" i="8"/>
  <c r="C6" i="24" s="1"/>
  <c r="K2" i="8"/>
  <c r="J37" i="8" s="1"/>
  <c r="B6" i="24" s="1"/>
  <c r="J38" i="7"/>
  <c r="C5" i="24" s="1"/>
  <c r="K2" i="7"/>
  <c r="J37" i="7" s="1"/>
  <c r="B5" i="24" s="1"/>
  <c r="J37" i="6"/>
  <c r="B4" i="24" s="1"/>
  <c r="J38" i="6"/>
  <c r="C4" i="24" s="1"/>
  <c r="K2" i="5"/>
  <c r="J37" i="5" s="1"/>
  <c r="B3" i="24" s="1"/>
  <c r="J38" i="5"/>
  <c r="C3" i="24" s="1"/>
  <c r="G16" i="4"/>
  <c r="G25" i="4"/>
  <c r="G6" i="4"/>
  <c r="H2" i="4"/>
  <c r="I2" i="4" s="1"/>
  <c r="J2" i="4" s="1"/>
  <c r="G24" i="4"/>
  <c r="G4" i="4"/>
  <c r="H32" i="4" s="1"/>
  <c r="I32" i="4" s="1"/>
  <c r="J32" i="4" s="1"/>
  <c r="G7" i="4"/>
  <c r="G19" i="4"/>
  <c r="G20" i="4"/>
  <c r="G10" i="4"/>
  <c r="G18" i="4"/>
  <c r="G23" i="4"/>
  <c r="H3" i="4"/>
  <c r="I3" i="4" s="1"/>
  <c r="J3" i="4" s="1"/>
  <c r="G29" i="4"/>
  <c r="G17" i="4"/>
  <c r="G11" i="4"/>
  <c r="G9" i="4"/>
  <c r="G22" i="4"/>
  <c r="G8" i="4"/>
  <c r="G21" i="4"/>
  <c r="G28" i="4"/>
  <c r="G15" i="4"/>
  <c r="G27" i="4"/>
  <c r="G13" i="4"/>
  <c r="G12" i="4"/>
  <c r="G31" i="4"/>
  <c r="G14" i="4"/>
  <c r="G5" i="4"/>
  <c r="C22" i="24" l="1"/>
  <c r="B23" i="24"/>
  <c r="B22" i="24"/>
  <c r="H33" i="4"/>
  <c r="I33" i="4" s="1"/>
  <c r="J33" i="4" s="1"/>
  <c r="H26" i="4"/>
  <c r="I26" i="4" s="1"/>
  <c r="J26" i="4" s="1"/>
  <c r="H31" i="4"/>
  <c r="I31" i="4" s="1"/>
  <c r="J31" i="4" s="1"/>
  <c r="H10" i="4"/>
  <c r="I10" i="4" s="1"/>
  <c r="J10" i="4" s="1"/>
  <c r="H6" i="4"/>
  <c r="I6" i="4" s="1"/>
  <c r="J6" i="4" s="1"/>
  <c r="H4" i="4"/>
  <c r="I4" i="4" s="1"/>
  <c r="J4" i="4" s="1"/>
  <c r="J38" i="4" s="1"/>
  <c r="H18" i="4"/>
  <c r="I18" i="4" s="1"/>
  <c r="J18" i="4" s="1"/>
  <c r="H11" i="4"/>
  <c r="I11" i="4" s="1"/>
  <c r="J11" i="4" s="1"/>
  <c r="H23" i="4"/>
  <c r="I23" i="4" s="1"/>
  <c r="J23" i="4" s="1"/>
  <c r="H12" i="4"/>
  <c r="I12" i="4" s="1"/>
  <c r="J12" i="4" s="1"/>
  <c r="H5" i="4"/>
  <c r="I5" i="4" s="1"/>
  <c r="J5" i="4" s="1"/>
  <c r="H20" i="4"/>
  <c r="I20" i="4" s="1"/>
  <c r="J20" i="4" s="1"/>
  <c r="H19" i="4"/>
  <c r="I19" i="4" s="1"/>
  <c r="J19" i="4" s="1"/>
  <c r="H9" i="4"/>
  <c r="I9" i="4" s="1"/>
  <c r="J9" i="4" s="1"/>
  <c r="H29" i="4"/>
  <c r="I29" i="4" s="1"/>
  <c r="J29" i="4" s="1"/>
  <c r="H27" i="4"/>
  <c r="I27" i="4" s="1"/>
  <c r="J27" i="4" s="1"/>
  <c r="H7" i="4"/>
  <c r="I7" i="4" s="1"/>
  <c r="J7" i="4" s="1"/>
  <c r="H8" i="4"/>
  <c r="I8" i="4" s="1"/>
  <c r="J8" i="4" s="1"/>
  <c r="H24" i="4"/>
  <c r="I24" i="4" s="1"/>
  <c r="J24" i="4" s="1"/>
  <c r="H16" i="4"/>
  <c r="I16" i="4" s="1"/>
  <c r="J16" i="4" s="1"/>
  <c r="H13" i="4"/>
  <c r="I13" i="4" s="1"/>
  <c r="J13" i="4" s="1"/>
  <c r="H22" i="4"/>
  <c r="I22" i="4" s="1"/>
  <c r="J22" i="4" s="1"/>
  <c r="H14" i="4"/>
  <c r="I14" i="4" s="1"/>
  <c r="J14" i="4" s="1"/>
  <c r="H30" i="4"/>
  <c r="I30" i="4" s="1"/>
  <c r="J30" i="4" s="1"/>
  <c r="H15" i="4"/>
  <c r="I15" i="4" s="1"/>
  <c r="J15" i="4" s="1"/>
  <c r="H17" i="4"/>
  <c r="I17" i="4" s="1"/>
  <c r="J17" i="4" s="1"/>
  <c r="H28" i="4"/>
  <c r="I28" i="4" s="1"/>
  <c r="J28" i="4" s="1"/>
  <c r="H21" i="4"/>
  <c r="I21" i="4" s="1"/>
  <c r="J21" i="4" s="1"/>
  <c r="H25" i="4"/>
  <c r="I25" i="4" s="1"/>
  <c r="J25" i="4" s="1"/>
</calcChain>
</file>

<file path=xl/sharedStrings.xml><?xml version="1.0" encoding="utf-8"?>
<sst xmlns="http://schemas.openxmlformats.org/spreadsheetml/2006/main" count="786" uniqueCount="57">
  <si>
    <t>ReadMe</t>
  </si>
  <si>
    <t>Schedule</t>
  </si>
  <si>
    <t>Total Land Occupation (ha·year)</t>
  </si>
  <si>
    <t>Max Total Area Used (ha)</t>
  </si>
  <si>
    <t>Schedule_1</t>
  </si>
  <si>
    <t>Schedule_2</t>
  </si>
  <si>
    <t>Schedule_3</t>
  </si>
  <si>
    <t>Schedule_4</t>
  </si>
  <si>
    <t>Schedule_5</t>
  </si>
  <si>
    <t>Schedule_6</t>
  </si>
  <si>
    <t>Schedule_7</t>
  </si>
  <si>
    <t>Schedule_8</t>
  </si>
  <si>
    <t>Schedule_9</t>
  </si>
  <si>
    <t>Schedule_10</t>
  </si>
  <si>
    <t>Schedule_11</t>
  </si>
  <si>
    <t>Schedule_12</t>
  </si>
  <si>
    <t>Schedule_13</t>
  </si>
  <si>
    <t>Schedule_14</t>
  </si>
  <si>
    <t>Schedule_15</t>
  </si>
  <si>
    <t>Schedule_16</t>
  </si>
  <si>
    <t>Schedule_17</t>
  </si>
  <si>
    <t>Schedule_18</t>
  </si>
  <si>
    <t>Schedule_19</t>
  </si>
  <si>
    <t>Schedule_20</t>
  </si>
  <si>
    <t>Averages</t>
  </si>
  <si>
    <t>Total Land Occupation (Sum)</t>
  </si>
  <si>
    <t>Year</t>
  </si>
  <si>
    <t>Ore (t)</t>
  </si>
  <si>
    <t>Waste (t)</t>
  </si>
  <si>
    <t>Waste (m^3)</t>
  </si>
  <si>
    <t>Dumps Area (ha)</t>
  </si>
  <si>
    <t>Leach Facility Area (ha)</t>
  </si>
  <si>
    <t>Total Material Mined (t)</t>
  </si>
  <si>
    <t>Cumulative Material (t)</t>
  </si>
  <si>
    <t>Estimated pit area (ha)</t>
  </si>
  <si>
    <t>Disturbed Area  (ha)</t>
  </si>
  <si>
    <t>Land Occupation (ha·year)</t>
  </si>
  <si>
    <t>Key Outputs</t>
  </si>
  <si>
    <t>Parameters</t>
  </si>
  <si>
    <t>Units</t>
  </si>
  <si>
    <t>Value</t>
  </si>
  <si>
    <t>Haul Road Width</t>
  </si>
  <si>
    <t xml:space="preserve">m </t>
  </si>
  <si>
    <t>Haul Road Gradient</t>
  </si>
  <si>
    <t>%</t>
  </si>
  <si>
    <t>Mining Bench Height</t>
  </si>
  <si>
    <t>m</t>
  </si>
  <si>
    <t>Safety Berm Width</t>
  </si>
  <si>
    <t>Batter Angle</t>
  </si>
  <si>
    <t>degrees</t>
  </si>
  <si>
    <t>Projection Angle</t>
  </si>
  <si>
    <t>Density</t>
  </si>
  <si>
    <t>Level Height</t>
  </si>
  <si>
    <t xml:space="preserve">Average dump hieght </t>
  </si>
  <si>
    <t>K_leach</t>
  </si>
  <si>
    <t>ha per Mt ore</t>
  </si>
  <si>
    <t>avg. pit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</si>
</sst>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7E6"/>
        <bgColor rgb="FFFFF7E6"/>
      </patternFill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defaultRowHeight="15"/>
  <cols>
    <col min="1" max="1" width="110" customWidth="1"/>
  </cols>
  <sheetData>
    <row r="1" spans="1:1" ht="18.75">
      <c r="A1" s="4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CEF5-5E21-4C1E-B08E-DA5610613FB5}">
  <dimension ref="A1:C23"/>
  <sheetViews>
    <sheetView tabSelected="1" workbookViewId="0">
      <selection activeCell="E1" sqref="E1"/>
    </sheetView>
  </sheetViews>
  <sheetFormatPr defaultRowHeight="15"/>
  <cols>
    <col min="1" max="1" width="26.7109375" bestFit="1" customWidth="1"/>
    <col min="2" max="2" width="29.42578125" bestFit="1" customWidth="1"/>
    <col min="3" max="3" width="23.7109375" bestFit="1" customWidth="1"/>
  </cols>
  <sheetData>
    <row r="1" spans="1:3">
      <c r="A1" s="17" t="s">
        <v>1</v>
      </c>
      <c r="B1" s="17" t="s">
        <v>2</v>
      </c>
      <c r="C1" s="17" t="s">
        <v>3</v>
      </c>
    </row>
    <row r="2" spans="1:3">
      <c r="A2" t="s">
        <v>4</v>
      </c>
      <c r="B2">
        <f>Schedule_1!$J$37</f>
        <v>11353.879616000002</v>
      </c>
      <c r="C2">
        <f>Schedule_1!$J$38</f>
        <v>354.80873800000006</v>
      </c>
    </row>
    <row r="3" spans="1:3">
      <c r="A3" t="s">
        <v>5</v>
      </c>
      <c r="B3">
        <f>Schedule_2!$J$37</f>
        <v>12252.601109333333</v>
      </c>
      <c r="C3">
        <f>Schedule_2!$J$38</f>
        <v>382.89378466666665</v>
      </c>
    </row>
    <row r="4" spans="1:3">
      <c r="A4" t="s">
        <v>6</v>
      </c>
      <c r="B4">
        <f>Schedule_3!$J$37</f>
        <v>13077.896261333333</v>
      </c>
      <c r="C4">
        <f>Schedule_3!$J$38</f>
        <v>408.68425816666667</v>
      </c>
    </row>
    <row r="5" spans="1:3">
      <c r="A5" t="s">
        <v>7</v>
      </c>
      <c r="B5">
        <f>Schedule_4!$J$37</f>
        <v>11190.440274166669</v>
      </c>
      <c r="C5">
        <f>Schedule_4!$J$38</f>
        <v>386.02354033333336</v>
      </c>
    </row>
    <row r="6" spans="1:3">
      <c r="A6" t="s">
        <v>8</v>
      </c>
      <c r="B6">
        <f>Schedule_5!$J$37</f>
        <v>8919.9918500000003</v>
      </c>
      <c r="C6">
        <f>Schedule_5!$J$38</f>
        <v>356.79967400000004</v>
      </c>
    </row>
    <row r="7" spans="1:3">
      <c r="A7" t="s">
        <v>9</v>
      </c>
      <c r="B7">
        <f>Schedule_6!$J$37</f>
        <v>9990.2866095000008</v>
      </c>
      <c r="C7">
        <f>Schedule_6!$J$38</f>
        <v>372.03453883333333</v>
      </c>
    </row>
    <row r="8" spans="1:3">
      <c r="A8" t="s">
        <v>10</v>
      </c>
      <c r="B8">
        <f>Schedule_7!$J$37</f>
        <v>10812.052489333335</v>
      </c>
      <c r="C8">
        <f>Schedule_7!$J$38</f>
        <v>415.8481726666667</v>
      </c>
    </row>
    <row r="9" spans="1:3">
      <c r="A9" t="s">
        <v>11</v>
      </c>
      <c r="B9">
        <f>Schedule_8!$J$37</f>
        <v>10644.675631333332</v>
      </c>
      <c r="C9">
        <f>Schedule_8!$J$38</f>
        <v>380.16698683333328</v>
      </c>
    </row>
    <row r="10" spans="1:3">
      <c r="A10" t="s">
        <v>12</v>
      </c>
      <c r="B10">
        <f>Schedule_9!$J$37</f>
        <v>11764.403261333333</v>
      </c>
      <c r="C10">
        <f>Schedule_9!$J$38</f>
        <v>420.15725933333334</v>
      </c>
    </row>
    <row r="11" spans="1:3">
      <c r="A11" t="s">
        <v>13</v>
      </c>
      <c r="B11">
        <f>Schedule_10!$J$37</f>
        <v>11290.734288000001</v>
      </c>
      <c r="C11">
        <f>Schedule_10!$J$38</f>
        <v>420.55852565986396</v>
      </c>
    </row>
    <row r="12" spans="1:3">
      <c r="A12" t="s">
        <v>14</v>
      </c>
      <c r="B12">
        <f>Schedule_11!$J$37</f>
        <v>8071.1252859999995</v>
      </c>
      <c r="C12">
        <f>Schedule_11!$J$38</f>
        <v>384.33929933333332</v>
      </c>
    </row>
    <row r="13" spans="1:3">
      <c r="A13" t="s">
        <v>15</v>
      </c>
      <c r="B13">
        <f>Schedule_12!$J$37</f>
        <v>9111.885839999999</v>
      </c>
      <c r="C13">
        <f>Schedule_12!$J$38</f>
        <v>342.62490933333333</v>
      </c>
    </row>
    <row r="14" spans="1:3">
      <c r="A14" t="s">
        <v>16</v>
      </c>
      <c r="B14">
        <f>Schedule_13!$J$37</f>
        <v>8411.5527300000012</v>
      </c>
      <c r="C14">
        <f>Schedule_13!$J$38</f>
        <v>400.55013000000002</v>
      </c>
    </row>
    <row r="15" spans="1:3">
      <c r="A15" t="s">
        <v>17</v>
      </c>
      <c r="B15">
        <f>Schedule_14!$J$37</f>
        <v>11316.412299102039</v>
      </c>
      <c r="C15">
        <f>Schedule_14!$J$38</f>
        <v>471.51717912925164</v>
      </c>
    </row>
    <row r="16" spans="1:3">
      <c r="A16" t="s">
        <v>18</v>
      </c>
      <c r="B16">
        <f>Schedule_15!$J$37</f>
        <v>13656.531817496598</v>
      </c>
      <c r="C16">
        <f>Schedule_15!$J$38</f>
        <v>440.53328443537413</v>
      </c>
    </row>
    <row r="17" spans="1:3">
      <c r="A17" t="s">
        <v>19</v>
      </c>
      <c r="B17">
        <f>Schedule_16!$J$37</f>
        <v>8328.914209999999</v>
      </c>
      <c r="C17">
        <f>Schedule_16!$J$38</f>
        <v>416.44571049999996</v>
      </c>
    </row>
    <row r="18" spans="1:3">
      <c r="A18" t="s">
        <v>20</v>
      </c>
      <c r="B18">
        <f>Schedule_17!$J$37</f>
        <v>11456.434668666667</v>
      </c>
      <c r="C18">
        <f>Schedule_17!$J$38</f>
        <v>407.72428250000002</v>
      </c>
    </row>
    <row r="19" spans="1:3">
      <c r="A19" t="s">
        <v>21</v>
      </c>
      <c r="B19">
        <f>Schedule_18!$J$37</f>
        <v>13707.591983589744</v>
      </c>
      <c r="C19">
        <f>Schedule_18!$J$38</f>
        <v>428.3622494871795</v>
      </c>
    </row>
    <row r="20" spans="1:3">
      <c r="A20" t="s">
        <v>22</v>
      </c>
      <c r="B20">
        <f>Schedule_19!$J$37</f>
        <v>10888.948967</v>
      </c>
      <c r="C20">
        <f>Schedule_19!$J$38</f>
        <v>418.80572949999998</v>
      </c>
    </row>
    <row r="21" spans="1:3">
      <c r="A21" t="s">
        <v>23</v>
      </c>
      <c r="B21">
        <f>Schedule_20!$J$37</f>
        <v>13223.273706333333</v>
      </c>
      <c r="C21">
        <f>Schedule_20!$J$38</f>
        <v>426.55721633333332</v>
      </c>
    </row>
    <row r="22" spans="1:3">
      <c r="A22" s="14" t="s">
        <v>24</v>
      </c>
      <c r="B22">
        <f>AVERAGE(B2:B21)</f>
        <v>10973.481644926085</v>
      </c>
      <c r="C22">
        <f>AVERAGE(C2:C21)</f>
        <v>401.77177345225016</v>
      </c>
    </row>
    <row r="23" spans="1:3">
      <c r="A23" s="14" t="s">
        <v>25</v>
      </c>
      <c r="B23">
        <f>SUM(B2:B21)</f>
        <v>219469.6328985217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3"/>
  <sheetViews>
    <sheetView topLeftCell="A4" zoomScaleNormal="100" workbookViewId="0">
      <selection activeCell="D15" sqref="D15"/>
    </sheetView>
  </sheetViews>
  <sheetFormatPr defaultRowHeight="15"/>
  <cols>
    <col min="1" max="8" width="26" customWidth="1"/>
    <col min="9" max="9" width="29.42578125" bestFit="1" customWidth="1"/>
    <col min="10" max="10" width="19" bestFit="1" customWidth="1"/>
    <col min="11" max="11" width="24.42578125" bestFit="1" customWidth="1"/>
    <col min="12" max="12" width="21.7109375" bestFit="1" customWidth="1"/>
    <col min="13" max="13" width="29.42578125" bestFit="1" customWidth="1"/>
  </cols>
  <sheetData>
    <row r="1" spans="1:14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  <c r="L1" s="2"/>
      <c r="M1" s="2"/>
      <c r="N1" s="2"/>
    </row>
    <row r="2" spans="1:14">
      <c r="A2">
        <v>1</v>
      </c>
      <c r="B2" s="7">
        <v>8000000</v>
      </c>
      <c r="C2" s="7">
        <v>4820712</v>
      </c>
      <c r="D2">
        <f>C2/2.5</f>
        <v>1928284.8</v>
      </c>
      <c r="E2">
        <f>(D2/60)/10000</f>
        <v>3.2138080000000002</v>
      </c>
      <c r="F2">
        <f>(B2*2)/1000000</f>
        <v>16</v>
      </c>
      <c r="G2">
        <f>IFERROR(B2+C2,0)</f>
        <v>12820712</v>
      </c>
      <c r="H2">
        <f>SUM($G$2:G2)</f>
        <v>12820712</v>
      </c>
      <c r="I2">
        <f>((H2/2.5)/48)/10000</f>
        <v>10.683926666666666</v>
      </c>
      <c r="J2">
        <f>I2+F2+E2</f>
        <v>29.897734666666665</v>
      </c>
      <c r="K2">
        <f>A2*J2</f>
        <v>29.897734666666665</v>
      </c>
    </row>
    <row r="3" spans="1:14">
      <c r="A3">
        <v>2</v>
      </c>
      <c r="B3" s="7">
        <v>8000000</v>
      </c>
      <c r="C3" s="7">
        <v>4698275</v>
      </c>
      <c r="D3">
        <f t="shared" ref="D3:D33" si="0">C3/2.5</f>
        <v>1879310</v>
      </c>
      <c r="E3">
        <f t="shared" ref="E3:E33" si="1">(D3/60)/10000</f>
        <v>3.1321833333333333</v>
      </c>
      <c r="F3">
        <f t="shared" ref="F3:F33" si="2">(B3*2)/1000000</f>
        <v>16</v>
      </c>
      <c r="G3">
        <f>IFERROR(B3+C3,0)</f>
        <v>12698275</v>
      </c>
      <c r="H3">
        <f>SUM($G$2:G3)</f>
        <v>25518987</v>
      </c>
      <c r="I3">
        <f t="shared" ref="I3:I33" si="3">((H3/2.5)/48)/10000</f>
        <v>21.265822500000002</v>
      </c>
      <c r="J3">
        <f t="shared" ref="J3:J33" si="4">I3+F3+E3</f>
        <v>40.398005833333329</v>
      </c>
      <c r="K3">
        <f t="shared" ref="K3:K33" si="5">A3*J3</f>
        <v>80.796011666666658</v>
      </c>
    </row>
    <row r="4" spans="1:14">
      <c r="A4">
        <v>3</v>
      </c>
      <c r="B4" s="7">
        <v>8000000</v>
      </c>
      <c r="C4" s="7">
        <v>4825835</v>
      </c>
      <c r="D4">
        <f t="shared" si="0"/>
        <v>1930334</v>
      </c>
      <c r="E4">
        <f t="shared" si="1"/>
        <v>3.2172233333333335</v>
      </c>
      <c r="F4">
        <f t="shared" si="2"/>
        <v>16</v>
      </c>
      <c r="G4">
        <f>IFERROR(B4+C4,0)</f>
        <v>12825835</v>
      </c>
      <c r="H4">
        <f>SUM($G$2:G4)</f>
        <v>38344822</v>
      </c>
      <c r="I4">
        <f t="shared" si="3"/>
        <v>31.954018333333334</v>
      </c>
      <c r="J4">
        <f t="shared" si="4"/>
        <v>51.171241666666674</v>
      </c>
      <c r="K4">
        <f t="shared" si="5"/>
        <v>153.51372500000002</v>
      </c>
    </row>
    <row r="5" spans="1:14">
      <c r="A5">
        <v>4</v>
      </c>
      <c r="B5" s="7">
        <v>7746104</v>
      </c>
      <c r="C5" s="7">
        <v>5253896</v>
      </c>
      <c r="D5">
        <f t="shared" si="0"/>
        <v>2101558.4</v>
      </c>
      <c r="E5">
        <f t="shared" si="1"/>
        <v>3.5025973333333336</v>
      </c>
      <c r="F5">
        <f t="shared" si="2"/>
        <v>15.492208</v>
      </c>
      <c r="G5">
        <f>IFERROR(B5+C5,0)</f>
        <v>13000000</v>
      </c>
      <c r="H5">
        <f>SUM($G$2:G5)</f>
        <v>51344822</v>
      </c>
      <c r="I5">
        <f t="shared" si="3"/>
        <v>42.787351666666666</v>
      </c>
      <c r="J5">
        <f t="shared" si="4"/>
        <v>61.782156999999998</v>
      </c>
      <c r="K5">
        <f t="shared" si="5"/>
        <v>247.12862799999999</v>
      </c>
    </row>
    <row r="6" spans="1:14">
      <c r="A6">
        <v>5</v>
      </c>
      <c r="B6" s="7">
        <v>7726501</v>
      </c>
      <c r="C6" s="7">
        <v>5273499</v>
      </c>
      <c r="D6">
        <f t="shared" si="0"/>
        <v>2109399.6</v>
      </c>
      <c r="E6">
        <f t="shared" si="1"/>
        <v>3.5156660000000004</v>
      </c>
      <c r="F6">
        <f t="shared" si="2"/>
        <v>15.453002</v>
      </c>
      <c r="G6">
        <f>IFERROR(B6+C6,0)</f>
        <v>13000000</v>
      </c>
      <c r="H6">
        <f>SUM($G$2:G6)</f>
        <v>64344822</v>
      </c>
      <c r="I6">
        <f t="shared" si="3"/>
        <v>53.620684999999995</v>
      </c>
      <c r="J6">
        <f t="shared" si="4"/>
        <v>72.589352999999988</v>
      </c>
      <c r="K6">
        <f t="shared" si="5"/>
        <v>362.94676499999991</v>
      </c>
    </row>
    <row r="7" spans="1:14">
      <c r="A7">
        <v>6</v>
      </c>
      <c r="B7" s="7">
        <v>7122941</v>
      </c>
      <c r="C7" s="7">
        <v>5877059</v>
      </c>
      <c r="D7">
        <f t="shared" si="0"/>
        <v>2350823.6</v>
      </c>
      <c r="E7">
        <f t="shared" si="1"/>
        <v>3.9180393333333332</v>
      </c>
      <c r="F7">
        <f t="shared" si="2"/>
        <v>14.245882</v>
      </c>
      <c r="G7">
        <f>IFERROR(B7+C7,0)</f>
        <v>13000000</v>
      </c>
      <c r="H7">
        <f>SUM($G$2:G7)</f>
        <v>77344822</v>
      </c>
      <c r="I7">
        <f t="shared" si="3"/>
        <v>64.454018333333337</v>
      </c>
      <c r="J7">
        <f t="shared" si="4"/>
        <v>82.617939666666672</v>
      </c>
      <c r="K7">
        <f t="shared" si="5"/>
        <v>495.70763800000003</v>
      </c>
    </row>
    <row r="8" spans="1:14">
      <c r="A8">
        <v>7</v>
      </c>
      <c r="B8" s="7">
        <v>6844616</v>
      </c>
      <c r="C8" s="7">
        <v>6155384</v>
      </c>
      <c r="D8">
        <f t="shared" si="0"/>
        <v>2462153.6</v>
      </c>
      <c r="E8">
        <f t="shared" si="1"/>
        <v>4.1035893333333338</v>
      </c>
      <c r="F8">
        <f t="shared" si="2"/>
        <v>13.689232000000001</v>
      </c>
      <c r="G8">
        <f>IFERROR(B8+C8,0)</f>
        <v>13000000</v>
      </c>
      <c r="H8">
        <f>SUM($G$2:G8)</f>
        <v>90344822</v>
      </c>
      <c r="I8">
        <f t="shared" si="3"/>
        <v>75.287351666666666</v>
      </c>
      <c r="J8">
        <f t="shared" si="4"/>
        <v>93.080173000000002</v>
      </c>
      <c r="K8">
        <f t="shared" si="5"/>
        <v>651.56121099999996</v>
      </c>
    </row>
    <row r="9" spans="1:14">
      <c r="A9">
        <v>8</v>
      </c>
      <c r="B9" s="7">
        <v>7836754</v>
      </c>
      <c r="C9" s="7">
        <v>5163246</v>
      </c>
      <c r="D9">
        <f t="shared" si="0"/>
        <v>2065298.4</v>
      </c>
      <c r="E9">
        <f t="shared" si="1"/>
        <v>3.442164</v>
      </c>
      <c r="F9">
        <f t="shared" si="2"/>
        <v>15.673508</v>
      </c>
      <c r="G9">
        <f>IFERROR(B9+C9,0)</f>
        <v>13000000</v>
      </c>
      <c r="H9">
        <f>SUM($G$2:G9)</f>
        <v>103344822</v>
      </c>
      <c r="I9">
        <f t="shared" si="3"/>
        <v>86.120684999999995</v>
      </c>
      <c r="J9">
        <f t="shared" si="4"/>
        <v>105.236357</v>
      </c>
      <c r="K9">
        <f t="shared" si="5"/>
        <v>841.89085599999999</v>
      </c>
    </row>
    <row r="10" spans="1:14">
      <c r="A10">
        <v>9</v>
      </c>
      <c r="B10" s="7">
        <v>8000000</v>
      </c>
      <c r="C10" s="7">
        <v>4172966</v>
      </c>
      <c r="D10">
        <f t="shared" si="0"/>
        <v>1669186.4</v>
      </c>
      <c r="E10">
        <f t="shared" si="1"/>
        <v>2.7819773333333333</v>
      </c>
      <c r="F10">
        <f t="shared" si="2"/>
        <v>16</v>
      </c>
      <c r="G10">
        <f>IFERROR(B10+C10,0)</f>
        <v>12172966</v>
      </c>
      <c r="H10">
        <f>SUM($G$2:G10)</f>
        <v>115517788</v>
      </c>
      <c r="I10">
        <f t="shared" si="3"/>
        <v>96.264823333333339</v>
      </c>
      <c r="J10">
        <f t="shared" si="4"/>
        <v>115.04680066666667</v>
      </c>
      <c r="K10">
        <f t="shared" si="5"/>
        <v>1035.421206</v>
      </c>
    </row>
    <row r="11" spans="1:14">
      <c r="A11">
        <v>10</v>
      </c>
      <c r="B11" s="7">
        <v>8000000</v>
      </c>
      <c r="C11" s="7">
        <v>4018384</v>
      </c>
      <c r="D11">
        <f t="shared" si="0"/>
        <v>1607353.6</v>
      </c>
      <c r="E11">
        <f t="shared" si="1"/>
        <v>2.6789226666666668</v>
      </c>
      <c r="F11">
        <f t="shared" si="2"/>
        <v>16</v>
      </c>
      <c r="G11">
        <f>IFERROR(B11+C11,0)</f>
        <v>12018384</v>
      </c>
      <c r="H11">
        <f>SUM($G$2:G11)</f>
        <v>127536172</v>
      </c>
      <c r="I11">
        <f t="shared" si="3"/>
        <v>106.28014333333333</v>
      </c>
      <c r="J11">
        <f t="shared" si="4"/>
        <v>124.95906599999999</v>
      </c>
      <c r="K11">
        <f t="shared" si="5"/>
        <v>1249.5906599999998</v>
      </c>
    </row>
    <row r="12" spans="1:14">
      <c r="A12">
        <v>11</v>
      </c>
      <c r="B12" s="7">
        <v>8000000</v>
      </c>
      <c r="C12" s="7">
        <v>3965241</v>
      </c>
      <c r="D12">
        <f t="shared" si="0"/>
        <v>1586096.4</v>
      </c>
      <c r="E12">
        <f t="shared" si="1"/>
        <v>2.643494</v>
      </c>
      <c r="F12">
        <f t="shared" si="2"/>
        <v>16</v>
      </c>
      <c r="G12">
        <f>IFERROR(B12+C12,0)</f>
        <v>11965241</v>
      </c>
      <c r="H12">
        <f>SUM($G$2:G12)</f>
        <v>139501413</v>
      </c>
      <c r="I12">
        <f t="shared" si="3"/>
        <v>116.25117750000001</v>
      </c>
      <c r="J12">
        <f t="shared" si="4"/>
        <v>134.89467150000002</v>
      </c>
      <c r="K12">
        <f t="shared" si="5"/>
        <v>1483.8413865000002</v>
      </c>
    </row>
    <row r="13" spans="1:14">
      <c r="A13">
        <v>12</v>
      </c>
      <c r="B13" s="7">
        <v>8000000</v>
      </c>
      <c r="C13" s="7">
        <v>3836277</v>
      </c>
      <c r="D13">
        <f t="shared" si="0"/>
        <v>1534510.8</v>
      </c>
      <c r="E13">
        <f t="shared" si="1"/>
        <v>2.557518</v>
      </c>
      <c r="F13">
        <f t="shared" si="2"/>
        <v>16</v>
      </c>
      <c r="G13">
        <f>IFERROR(B13+C13,0)</f>
        <v>11836277</v>
      </c>
      <c r="H13">
        <f>SUM($G$2:G13)</f>
        <v>151337690</v>
      </c>
      <c r="I13">
        <f t="shared" si="3"/>
        <v>126.11474166666667</v>
      </c>
      <c r="J13">
        <f t="shared" si="4"/>
        <v>144.67225966666666</v>
      </c>
      <c r="K13">
        <f t="shared" si="5"/>
        <v>1736.0671159999999</v>
      </c>
    </row>
    <row r="14" spans="1:14">
      <c r="A14">
        <v>13</v>
      </c>
      <c r="B14" s="7">
        <v>8000000</v>
      </c>
      <c r="C14" s="7">
        <v>4779081</v>
      </c>
      <c r="D14">
        <f t="shared" si="0"/>
        <v>1911632.4</v>
      </c>
      <c r="E14">
        <f t="shared" si="1"/>
        <v>3.1860539999999999</v>
      </c>
      <c r="F14">
        <f t="shared" si="2"/>
        <v>16</v>
      </c>
      <c r="G14">
        <f>IFERROR(B14+C14,0)</f>
        <v>12779081</v>
      </c>
      <c r="H14">
        <f>SUM($G$2:G14)</f>
        <v>164116771</v>
      </c>
      <c r="I14">
        <f t="shared" si="3"/>
        <v>136.76397583333332</v>
      </c>
      <c r="J14">
        <f t="shared" si="4"/>
        <v>155.95002983333333</v>
      </c>
      <c r="K14">
        <f t="shared" si="5"/>
        <v>2027.3503878333333</v>
      </c>
    </row>
    <row r="15" spans="1:14">
      <c r="A15">
        <v>14</v>
      </c>
      <c r="B15" s="7">
        <v>8000000</v>
      </c>
      <c r="C15" s="7">
        <v>4982194</v>
      </c>
      <c r="D15">
        <f t="shared" si="0"/>
        <v>1992877.6</v>
      </c>
      <c r="E15">
        <f t="shared" si="1"/>
        <v>3.3214626666666671</v>
      </c>
      <c r="F15">
        <f t="shared" si="2"/>
        <v>16</v>
      </c>
      <c r="G15">
        <f>IFERROR(B15+C15,0)</f>
        <v>12982194</v>
      </c>
      <c r="H15">
        <f>SUM($G$2:G15)</f>
        <v>177098965</v>
      </c>
      <c r="I15">
        <f t="shared" si="3"/>
        <v>147.58247083333333</v>
      </c>
      <c r="J15">
        <f t="shared" si="4"/>
        <v>166.90393349999999</v>
      </c>
      <c r="K15">
        <f t="shared" si="5"/>
        <v>2336.6550689999999</v>
      </c>
    </row>
    <row r="16" spans="1:14">
      <c r="A16">
        <v>15</v>
      </c>
      <c r="B16" s="7">
        <v>7999259</v>
      </c>
      <c r="C16" s="7">
        <v>5000741</v>
      </c>
      <c r="D16">
        <f t="shared" si="0"/>
        <v>2000296.4</v>
      </c>
      <c r="E16">
        <f t="shared" si="1"/>
        <v>3.3338273333333333</v>
      </c>
      <c r="F16">
        <f t="shared" si="2"/>
        <v>15.998518000000001</v>
      </c>
      <c r="G16">
        <f>IFERROR(B16+C16,0)</f>
        <v>13000000</v>
      </c>
      <c r="H16">
        <f>SUM($G$2:G16)</f>
        <v>190098965</v>
      </c>
      <c r="I16">
        <f t="shared" si="3"/>
        <v>158.41580416666667</v>
      </c>
      <c r="J16">
        <f t="shared" si="4"/>
        <v>177.74814950000001</v>
      </c>
      <c r="K16">
        <f t="shared" si="5"/>
        <v>2666.2222425</v>
      </c>
    </row>
    <row r="17" spans="1:11">
      <c r="A17">
        <v>16</v>
      </c>
      <c r="B17" s="7">
        <v>7868605</v>
      </c>
      <c r="C17" s="7">
        <v>5131395</v>
      </c>
      <c r="D17">
        <f t="shared" si="0"/>
        <v>2052558</v>
      </c>
      <c r="E17">
        <f t="shared" si="1"/>
        <v>3.4209300000000002</v>
      </c>
      <c r="F17">
        <f t="shared" si="2"/>
        <v>15.737209999999999</v>
      </c>
      <c r="G17">
        <f>IFERROR(B17+C17,0)</f>
        <v>13000000</v>
      </c>
      <c r="H17">
        <f>SUM($G$2:G17)</f>
        <v>203098965</v>
      </c>
      <c r="I17">
        <f t="shared" si="3"/>
        <v>169.24913749999999</v>
      </c>
      <c r="J17">
        <f t="shared" si="4"/>
        <v>188.40727749999999</v>
      </c>
      <c r="K17">
        <f t="shared" si="5"/>
        <v>3014.5164399999999</v>
      </c>
    </row>
    <row r="18" spans="1:11">
      <c r="A18">
        <v>17</v>
      </c>
      <c r="B18" s="7">
        <v>7232472</v>
      </c>
      <c r="C18" s="7">
        <v>5767528</v>
      </c>
      <c r="D18">
        <f t="shared" si="0"/>
        <v>2307011.2000000002</v>
      </c>
      <c r="E18">
        <f t="shared" si="1"/>
        <v>3.8450186666666668</v>
      </c>
      <c r="F18">
        <f t="shared" si="2"/>
        <v>14.464943999999999</v>
      </c>
      <c r="G18">
        <f>IFERROR(B18+C18,0)</f>
        <v>13000000</v>
      </c>
      <c r="H18">
        <f>SUM($G$2:G18)</f>
        <v>216098965</v>
      </c>
      <c r="I18">
        <f t="shared" si="3"/>
        <v>180.08247083333333</v>
      </c>
      <c r="J18">
        <f t="shared" si="4"/>
        <v>198.39243350000001</v>
      </c>
      <c r="K18">
        <f t="shared" si="5"/>
        <v>3372.6713695000003</v>
      </c>
    </row>
    <row r="19" spans="1:11">
      <c r="A19">
        <v>18</v>
      </c>
      <c r="B19" s="7">
        <v>6677307</v>
      </c>
      <c r="C19" s="7">
        <v>6322693</v>
      </c>
      <c r="D19">
        <f t="shared" si="0"/>
        <v>2529077.2000000002</v>
      </c>
      <c r="E19">
        <f t="shared" si="1"/>
        <v>4.2151286666666667</v>
      </c>
      <c r="F19">
        <f t="shared" si="2"/>
        <v>13.354614</v>
      </c>
      <c r="G19">
        <f>IFERROR(B19+C19,0)</f>
        <v>13000000</v>
      </c>
      <c r="H19">
        <f>SUM($G$2:G19)</f>
        <v>229098965</v>
      </c>
      <c r="I19">
        <f t="shared" si="3"/>
        <v>190.91580416666667</v>
      </c>
      <c r="J19">
        <f t="shared" si="4"/>
        <v>208.48554683333333</v>
      </c>
      <c r="K19">
        <f t="shared" si="5"/>
        <v>3752.7398429999998</v>
      </c>
    </row>
    <row r="20" spans="1:11">
      <c r="A20">
        <v>19</v>
      </c>
      <c r="B20" s="7">
        <v>5691183</v>
      </c>
      <c r="C20" s="7">
        <v>7308817</v>
      </c>
      <c r="D20">
        <f t="shared" si="0"/>
        <v>2923526.8</v>
      </c>
      <c r="E20">
        <f t="shared" si="1"/>
        <v>4.8725446666666663</v>
      </c>
      <c r="F20">
        <f t="shared" si="2"/>
        <v>11.382365999999999</v>
      </c>
      <c r="G20">
        <f>IFERROR(B20+C20,0)</f>
        <v>13000000</v>
      </c>
      <c r="H20">
        <f>SUM($G$2:G20)</f>
        <v>242098965</v>
      </c>
      <c r="I20">
        <f t="shared" si="3"/>
        <v>201.74913749999999</v>
      </c>
      <c r="J20">
        <f t="shared" si="4"/>
        <v>218.00404816666665</v>
      </c>
      <c r="K20">
        <f t="shared" si="5"/>
        <v>4142.0769151666664</v>
      </c>
    </row>
    <row r="21" spans="1:11">
      <c r="A21">
        <v>20</v>
      </c>
      <c r="B21" s="7">
        <v>5253272</v>
      </c>
      <c r="C21" s="7">
        <v>7746728</v>
      </c>
      <c r="D21">
        <f t="shared" si="0"/>
        <v>3098691.2</v>
      </c>
      <c r="E21">
        <f t="shared" si="1"/>
        <v>5.1644853333333343</v>
      </c>
      <c r="F21">
        <f t="shared" si="2"/>
        <v>10.506544</v>
      </c>
      <c r="G21">
        <f>IFERROR(B21+C21,0)</f>
        <v>13000000</v>
      </c>
      <c r="H21">
        <f>SUM($G$2:G21)</f>
        <v>255098965</v>
      </c>
      <c r="I21">
        <f t="shared" si="3"/>
        <v>212.58247083333336</v>
      </c>
      <c r="J21">
        <f t="shared" si="4"/>
        <v>228.2535001666667</v>
      </c>
      <c r="K21">
        <f t="shared" si="5"/>
        <v>4565.0700033333342</v>
      </c>
    </row>
    <row r="22" spans="1:11">
      <c r="A22">
        <v>21</v>
      </c>
      <c r="B22" s="7">
        <v>5279121</v>
      </c>
      <c r="C22" s="7">
        <v>7720879</v>
      </c>
      <c r="D22">
        <f t="shared" si="0"/>
        <v>3088351.6</v>
      </c>
      <c r="E22">
        <f t="shared" si="1"/>
        <v>5.1472526666666667</v>
      </c>
      <c r="F22">
        <f t="shared" si="2"/>
        <v>10.558242</v>
      </c>
      <c r="G22">
        <f>IFERROR(B22+C22,0)</f>
        <v>13000000</v>
      </c>
      <c r="H22">
        <f>SUM($G$2:G22)</f>
        <v>268098965</v>
      </c>
      <c r="I22">
        <f t="shared" si="3"/>
        <v>223.41580416666665</v>
      </c>
      <c r="J22">
        <f t="shared" si="4"/>
        <v>239.12129883333333</v>
      </c>
      <c r="K22">
        <f t="shared" si="5"/>
        <v>5021.5472755000001</v>
      </c>
    </row>
    <row r="23" spans="1:11">
      <c r="A23">
        <v>22</v>
      </c>
      <c r="B23" s="7">
        <v>5229197</v>
      </c>
      <c r="C23" s="7">
        <v>7770803</v>
      </c>
      <c r="D23">
        <f t="shared" si="0"/>
        <v>3108321.2</v>
      </c>
      <c r="E23">
        <f t="shared" si="1"/>
        <v>5.1805353333333342</v>
      </c>
      <c r="F23">
        <f t="shared" si="2"/>
        <v>10.458394</v>
      </c>
      <c r="G23">
        <f>IFERROR(B23+C23,0)</f>
        <v>13000000</v>
      </c>
      <c r="H23">
        <f>SUM($G$2:G23)</f>
        <v>281098965</v>
      </c>
      <c r="I23">
        <f t="shared" si="3"/>
        <v>234.24913749999999</v>
      </c>
      <c r="J23">
        <f t="shared" si="4"/>
        <v>249.88806683333331</v>
      </c>
      <c r="K23">
        <f t="shared" si="5"/>
        <v>5497.5374703333327</v>
      </c>
    </row>
    <row r="24" spans="1:11">
      <c r="A24">
        <v>23</v>
      </c>
      <c r="B24" s="7">
        <v>4962728</v>
      </c>
      <c r="C24" s="7">
        <v>8037272</v>
      </c>
      <c r="D24">
        <f t="shared" si="0"/>
        <v>3214908.8</v>
      </c>
      <c r="E24">
        <f t="shared" si="1"/>
        <v>5.3581813333333335</v>
      </c>
      <c r="F24">
        <f t="shared" si="2"/>
        <v>9.9254560000000005</v>
      </c>
      <c r="G24">
        <f>IFERROR(B24+C24,0)</f>
        <v>13000000</v>
      </c>
      <c r="H24">
        <f>SUM($G$2:G24)</f>
        <v>294098965</v>
      </c>
      <c r="I24">
        <f t="shared" si="3"/>
        <v>245.08247083333336</v>
      </c>
      <c r="J24">
        <f t="shared" si="4"/>
        <v>260.36610816666666</v>
      </c>
      <c r="K24">
        <f t="shared" si="5"/>
        <v>5988.420487833333</v>
      </c>
    </row>
    <row r="25" spans="1:11">
      <c r="A25">
        <v>24</v>
      </c>
      <c r="B25" s="7">
        <v>4628203</v>
      </c>
      <c r="C25" s="7">
        <v>8371797</v>
      </c>
      <c r="D25">
        <f t="shared" si="0"/>
        <v>3348718.8</v>
      </c>
      <c r="E25">
        <f t="shared" si="1"/>
        <v>5.5811979999999997</v>
      </c>
      <c r="F25">
        <f t="shared" si="2"/>
        <v>9.2564060000000001</v>
      </c>
      <c r="G25">
        <f>IFERROR(B25+C25,0)</f>
        <v>13000000</v>
      </c>
      <c r="H25">
        <f>SUM($G$2:G25)</f>
        <v>307098965</v>
      </c>
      <c r="I25">
        <f t="shared" si="3"/>
        <v>255.91580416666665</v>
      </c>
      <c r="J25">
        <f t="shared" si="4"/>
        <v>270.75340816666665</v>
      </c>
      <c r="K25">
        <f t="shared" si="5"/>
        <v>6498.0817959999995</v>
      </c>
    </row>
    <row r="26" spans="1:11">
      <c r="A26">
        <v>25</v>
      </c>
      <c r="B26" s="7">
        <v>4146367</v>
      </c>
      <c r="C26" s="7">
        <v>8853633</v>
      </c>
      <c r="D26">
        <f t="shared" si="0"/>
        <v>3541453.2</v>
      </c>
      <c r="E26">
        <f t="shared" si="1"/>
        <v>5.9024220000000005</v>
      </c>
      <c r="F26">
        <f t="shared" si="2"/>
        <v>8.2927339999999994</v>
      </c>
      <c r="G26">
        <f>IFERROR(B26+C26,0)</f>
        <v>13000000</v>
      </c>
      <c r="H26">
        <f>SUM($G$2:G26)</f>
        <v>320098965</v>
      </c>
      <c r="I26">
        <f t="shared" si="3"/>
        <v>266.74913750000002</v>
      </c>
      <c r="J26">
        <f t="shared" si="4"/>
        <v>280.94429350000001</v>
      </c>
      <c r="K26">
        <f t="shared" si="5"/>
        <v>7023.6073375000005</v>
      </c>
    </row>
    <row r="27" spans="1:11">
      <c r="A27">
        <v>26</v>
      </c>
      <c r="B27" s="7">
        <v>3946711</v>
      </c>
      <c r="C27" s="7">
        <v>9053289</v>
      </c>
      <c r="D27">
        <f t="shared" si="0"/>
        <v>3621315.6</v>
      </c>
      <c r="E27">
        <f t="shared" si="1"/>
        <v>6.0355259999999999</v>
      </c>
      <c r="F27">
        <f t="shared" si="2"/>
        <v>7.8934220000000002</v>
      </c>
      <c r="G27">
        <f>IFERROR(B27+C27,0)</f>
        <v>13000000</v>
      </c>
      <c r="H27">
        <f>SUM($G$2:G27)</f>
        <v>333098965</v>
      </c>
      <c r="I27">
        <f t="shared" si="3"/>
        <v>277.58247083333333</v>
      </c>
      <c r="J27">
        <f t="shared" si="4"/>
        <v>291.51141883333332</v>
      </c>
      <c r="K27">
        <f t="shared" si="5"/>
        <v>7579.2968896666662</v>
      </c>
    </row>
    <row r="28" spans="1:11">
      <c r="A28">
        <v>27</v>
      </c>
      <c r="B28" s="7">
        <v>3762067</v>
      </c>
      <c r="C28" s="7">
        <v>9237933</v>
      </c>
      <c r="D28">
        <f t="shared" si="0"/>
        <v>3695173.2</v>
      </c>
      <c r="E28">
        <f t="shared" si="1"/>
        <v>6.1586220000000003</v>
      </c>
      <c r="F28">
        <f t="shared" si="2"/>
        <v>7.5241340000000001</v>
      </c>
      <c r="G28">
        <f>IFERROR(B28+C28,0)</f>
        <v>13000000</v>
      </c>
      <c r="H28">
        <f>SUM($G$2:G28)</f>
        <v>346098965</v>
      </c>
      <c r="I28">
        <f t="shared" si="3"/>
        <v>288.41580416666665</v>
      </c>
      <c r="J28">
        <f t="shared" si="4"/>
        <v>302.09856016666663</v>
      </c>
      <c r="K28">
        <f t="shared" si="5"/>
        <v>8156.6611244999986</v>
      </c>
    </row>
    <row r="29" spans="1:11">
      <c r="A29">
        <v>28</v>
      </c>
      <c r="B29" s="7">
        <v>3544223</v>
      </c>
      <c r="C29" s="7">
        <v>9455777</v>
      </c>
      <c r="D29">
        <f t="shared" si="0"/>
        <v>3782310.8</v>
      </c>
      <c r="E29">
        <f t="shared" si="1"/>
        <v>6.3038513333333333</v>
      </c>
      <c r="F29">
        <f t="shared" si="2"/>
        <v>7.0884460000000002</v>
      </c>
      <c r="G29">
        <f>IFERROR(B29+C29,0)</f>
        <v>13000000</v>
      </c>
      <c r="H29">
        <f>SUM($G$2:G29)</f>
        <v>359098965</v>
      </c>
      <c r="I29">
        <f t="shared" si="3"/>
        <v>299.24913750000002</v>
      </c>
      <c r="J29">
        <f t="shared" si="4"/>
        <v>312.64143483333334</v>
      </c>
      <c r="K29">
        <f t="shared" si="5"/>
        <v>8753.9601753333336</v>
      </c>
    </row>
    <row r="30" spans="1:11">
      <c r="A30">
        <v>29</v>
      </c>
      <c r="B30" s="7">
        <v>3103510</v>
      </c>
      <c r="C30" s="7">
        <v>9896490</v>
      </c>
      <c r="D30">
        <f t="shared" si="0"/>
        <v>3958596</v>
      </c>
      <c r="E30">
        <f t="shared" si="1"/>
        <v>6.5976600000000003</v>
      </c>
      <c r="F30">
        <f t="shared" si="2"/>
        <v>6.20702</v>
      </c>
      <c r="G30">
        <f>IFERROR(B30+C30,0)</f>
        <v>13000000</v>
      </c>
      <c r="H30">
        <f>SUM($G$2:G30)</f>
        <v>372098965</v>
      </c>
      <c r="I30">
        <f t="shared" si="3"/>
        <v>310.08247083333333</v>
      </c>
      <c r="J30">
        <f t="shared" si="4"/>
        <v>322.88715083333335</v>
      </c>
      <c r="K30">
        <f t="shared" si="5"/>
        <v>9363.7273741666668</v>
      </c>
    </row>
    <row r="31" spans="1:11">
      <c r="A31">
        <v>30</v>
      </c>
      <c r="B31" s="7">
        <v>3934853</v>
      </c>
      <c r="C31" s="7">
        <v>9065147</v>
      </c>
      <c r="D31">
        <f t="shared" si="0"/>
        <v>3626058.8</v>
      </c>
      <c r="E31">
        <f t="shared" si="1"/>
        <v>6.0434313333333334</v>
      </c>
      <c r="F31">
        <f t="shared" si="2"/>
        <v>7.8697059999999999</v>
      </c>
      <c r="G31">
        <f>IFERROR(B31+C31,0)</f>
        <v>13000000</v>
      </c>
      <c r="H31">
        <f>SUM($G$2:G31)</f>
        <v>385098965</v>
      </c>
      <c r="I31">
        <f t="shared" si="3"/>
        <v>320.91580416666665</v>
      </c>
      <c r="J31">
        <f t="shared" si="4"/>
        <v>334.82894149999998</v>
      </c>
      <c r="K31">
        <f t="shared" si="5"/>
        <v>10044.868245</v>
      </c>
    </row>
    <row r="32" spans="1:11">
      <c r="A32">
        <v>31</v>
      </c>
      <c r="B32" s="7">
        <v>4812610</v>
      </c>
      <c r="C32" s="7">
        <v>8187390</v>
      </c>
      <c r="D32">
        <f t="shared" si="0"/>
        <v>3274956</v>
      </c>
      <c r="E32">
        <f t="shared" si="1"/>
        <v>5.4582600000000001</v>
      </c>
      <c r="F32">
        <f t="shared" si="2"/>
        <v>9.6252200000000006</v>
      </c>
      <c r="G32">
        <f t="shared" ref="G32:G33" si="6">IFERROR(B32+C32,0)</f>
        <v>13000000</v>
      </c>
      <c r="H32">
        <f>SUM($G$2:G32)</f>
        <v>398098965</v>
      </c>
      <c r="I32">
        <f t="shared" si="3"/>
        <v>331.74913750000002</v>
      </c>
      <c r="J32">
        <f t="shared" si="4"/>
        <v>346.83261750000003</v>
      </c>
      <c r="K32">
        <f t="shared" si="5"/>
        <v>10751.811142500001</v>
      </c>
    </row>
    <row r="33" spans="1:12">
      <c r="A33">
        <v>32</v>
      </c>
      <c r="B33" s="7">
        <v>4520196</v>
      </c>
      <c r="C33" s="7">
        <v>6834919</v>
      </c>
      <c r="D33">
        <f t="shared" si="0"/>
        <v>2733967.6</v>
      </c>
      <c r="E33">
        <f t="shared" si="1"/>
        <v>4.5566126666666671</v>
      </c>
      <c r="F33">
        <f t="shared" si="2"/>
        <v>9.0403920000000006</v>
      </c>
      <c r="G33">
        <f t="shared" si="6"/>
        <v>11355115</v>
      </c>
      <c r="H33">
        <f>SUM($G$2:G33)</f>
        <v>409454080</v>
      </c>
      <c r="I33">
        <f>((H33/2.5)/48)/10000</f>
        <v>341.21173333333337</v>
      </c>
      <c r="J33">
        <f t="shared" si="4"/>
        <v>354.80873800000006</v>
      </c>
      <c r="K33">
        <f t="shared" si="5"/>
        <v>11353.879616000002</v>
      </c>
      <c r="L33" s="3"/>
    </row>
    <row r="35" spans="1:12">
      <c r="C35" s="5">
        <f>SUM(C2:C33)</f>
        <v>207585280</v>
      </c>
    </row>
    <row r="37" spans="1:12">
      <c r="H37" s="14" t="s">
        <v>37</v>
      </c>
      <c r="I37" t="s">
        <v>2</v>
      </c>
      <c r="J37" s="15">
        <f>MAX(K2:K33)</f>
        <v>11353.879616000002</v>
      </c>
    </row>
    <row r="38" spans="1:12">
      <c r="I38" t="s">
        <v>3</v>
      </c>
      <c r="J38" s="15">
        <f>MAX(J2:J33)</f>
        <v>354.80873800000006</v>
      </c>
    </row>
    <row r="42" spans="1:12">
      <c r="A42" s="6"/>
      <c r="B42" s="7"/>
      <c r="C42" s="7"/>
      <c r="D42" s="6"/>
      <c r="E42" s="6"/>
      <c r="F42" s="7"/>
    </row>
    <row r="43" spans="1:12" ht="15.75" thickBot="1">
      <c r="A43" s="6"/>
      <c r="B43" s="7"/>
      <c r="C43" s="7"/>
      <c r="D43" s="6"/>
      <c r="E43" s="6"/>
      <c r="F43" s="7"/>
    </row>
    <row r="44" spans="1:12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2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2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2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2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7"/>
      <c r="C57" s="7"/>
      <c r="D57" s="6"/>
      <c r="E57" s="6"/>
      <c r="F57" s="7"/>
    </row>
    <row r="58" spans="1:9">
      <c r="A58" s="6"/>
      <c r="B58" s="7"/>
      <c r="C58" s="7"/>
      <c r="D58" s="6"/>
      <c r="E58" s="6"/>
      <c r="F58" s="7"/>
    </row>
    <row r="59" spans="1:9">
      <c r="A59" s="6"/>
      <c r="B59" s="7"/>
      <c r="C59" s="7"/>
      <c r="D59" s="6"/>
      <c r="E59" s="6"/>
      <c r="F59" s="7"/>
    </row>
    <row r="60" spans="1:9">
      <c r="A60" s="6"/>
      <c r="B60" s="7"/>
      <c r="C60" s="7"/>
      <c r="D60" s="6"/>
      <c r="E60" s="6"/>
      <c r="F60" s="7"/>
    </row>
    <row r="61" spans="1:9">
      <c r="A61" s="6"/>
      <c r="B61" s="7"/>
      <c r="C61" s="7"/>
      <c r="D61" s="6"/>
      <c r="E61" s="6"/>
      <c r="F61" s="7"/>
    </row>
    <row r="62" spans="1:9">
      <c r="A62" s="6"/>
      <c r="B62" s="7"/>
      <c r="C62" s="7"/>
      <c r="D62" s="6"/>
      <c r="E62" s="6"/>
      <c r="F62" s="7"/>
    </row>
    <row r="63" spans="1:9">
      <c r="A63" s="6"/>
      <c r="B63" s="7"/>
      <c r="C63" s="7"/>
      <c r="D63" s="6"/>
      <c r="E63" s="6"/>
      <c r="F63" s="7"/>
    </row>
    <row r="64" spans="1:9">
      <c r="A64" s="6"/>
      <c r="B64" s="7"/>
      <c r="C64" s="7"/>
      <c r="D64" s="6"/>
      <c r="E64" s="6"/>
      <c r="F64" s="7"/>
    </row>
    <row r="65" spans="1:6">
      <c r="A65" s="6"/>
      <c r="B65" s="7"/>
      <c r="C65" s="7"/>
      <c r="D65" s="6"/>
      <c r="E65" s="6"/>
      <c r="F65" s="7"/>
    </row>
    <row r="66" spans="1:6">
      <c r="A66" s="6"/>
      <c r="B66" s="7"/>
      <c r="C66" s="7"/>
      <c r="D66" s="6"/>
      <c r="E66" s="6"/>
      <c r="F66" s="7"/>
    </row>
    <row r="67" spans="1:6">
      <c r="A67" s="6"/>
      <c r="B67" s="7"/>
      <c r="C67" s="7"/>
      <c r="D67" s="6"/>
      <c r="E67" s="6"/>
      <c r="F67" s="7"/>
    </row>
    <row r="68" spans="1:6">
      <c r="A68" s="6"/>
      <c r="B68" s="7"/>
      <c r="C68" s="7"/>
      <c r="D68" s="6"/>
      <c r="E68" s="6"/>
      <c r="F68" s="7"/>
    </row>
    <row r="69" spans="1:6">
      <c r="A69" s="6"/>
      <c r="B69" s="7"/>
      <c r="C69" s="7"/>
      <c r="D69" s="6"/>
      <c r="E69" s="6"/>
      <c r="F69" s="7"/>
    </row>
    <row r="70" spans="1:6">
      <c r="A70" s="6"/>
      <c r="B70" s="7"/>
      <c r="C70" s="7"/>
      <c r="D70" s="6"/>
      <c r="E70" s="6"/>
      <c r="F70" s="7"/>
    </row>
    <row r="71" spans="1:6">
      <c r="A71" s="6"/>
      <c r="B71" s="7"/>
      <c r="C71" s="7"/>
      <c r="D71" s="6"/>
      <c r="E71" s="6"/>
      <c r="F71" s="7"/>
    </row>
    <row r="72" spans="1:6">
      <c r="A72" s="6"/>
      <c r="B72" s="7"/>
      <c r="C72" s="7"/>
      <c r="D72" s="6"/>
      <c r="E72" s="6"/>
      <c r="F72" s="7"/>
    </row>
    <row r="73" spans="1:6">
      <c r="A73" s="6"/>
      <c r="B73" s="7"/>
      <c r="C73" s="7"/>
      <c r="D73" s="6"/>
      <c r="E73" s="6"/>
      <c r="F73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0"/>
  <sheetViews>
    <sheetView topLeftCell="B22" workbookViewId="0">
      <selection activeCell="D57" sqref="D57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8500000</v>
      </c>
      <c r="C2" s="6">
        <v>5449307</v>
      </c>
      <c r="D2">
        <f>C2/2.5</f>
        <v>2179722.7999999998</v>
      </c>
      <c r="E2">
        <f>(D2/60)/10000</f>
        <v>3.6328713333333331</v>
      </c>
      <c r="F2">
        <f>(B2*2)/1000000</f>
        <v>17</v>
      </c>
      <c r="G2">
        <f>IFERROR(B2+C2,0)</f>
        <v>13949307</v>
      </c>
      <c r="H2">
        <f>SUM($G$2:G2)</f>
        <v>13949307</v>
      </c>
      <c r="I2">
        <f>((H2/2.5)/48)/10000</f>
        <v>11.6244225</v>
      </c>
      <c r="J2">
        <f>I2+F2+E2</f>
        <v>32.257293833333335</v>
      </c>
      <c r="K2">
        <f>A2*J2</f>
        <v>32.257293833333335</v>
      </c>
    </row>
    <row r="3" spans="1:11">
      <c r="A3">
        <v>2</v>
      </c>
      <c r="B3" s="6">
        <v>8500000</v>
      </c>
      <c r="C3" s="6">
        <v>5039809</v>
      </c>
      <c r="D3">
        <f t="shared" ref="D3:D34" si="0">C3/2.5</f>
        <v>2015923.6</v>
      </c>
      <c r="E3">
        <f t="shared" ref="E3:E34" si="1">(D3/60)/10000</f>
        <v>3.359872666666667</v>
      </c>
      <c r="F3">
        <f t="shared" ref="F3:F34" si="2">(B3*2)/1000000</f>
        <v>17</v>
      </c>
      <c r="G3">
        <f>IFERROR(B3+C3,0)</f>
        <v>13539809</v>
      </c>
      <c r="H3">
        <f>SUM($G$2:G3)</f>
        <v>27489116</v>
      </c>
      <c r="I3">
        <f t="shared" ref="I3:I32" si="3">((H3/2.5)/48)/10000</f>
        <v>22.907596666666667</v>
      </c>
      <c r="J3">
        <f t="shared" ref="J3:J34" si="4">I3+F3+E3</f>
        <v>43.267469333333331</v>
      </c>
      <c r="K3">
        <f t="shared" ref="K3:K34" si="5">A3*J3</f>
        <v>86.534938666666662</v>
      </c>
    </row>
    <row r="4" spans="1:11">
      <c r="A4">
        <v>3</v>
      </c>
      <c r="B4" s="6">
        <v>8500000</v>
      </c>
      <c r="C4" s="6">
        <v>5222632</v>
      </c>
      <c r="D4">
        <f t="shared" si="0"/>
        <v>2089052.8</v>
      </c>
      <c r="E4">
        <f t="shared" si="1"/>
        <v>3.4817546666666668</v>
      </c>
      <c r="F4">
        <f t="shared" si="2"/>
        <v>17</v>
      </c>
      <c r="G4">
        <f>IFERROR(B4+C4,0)</f>
        <v>13722632</v>
      </c>
      <c r="H4">
        <f>SUM($G$2:G4)</f>
        <v>41211748</v>
      </c>
      <c r="I4">
        <f t="shared" si="3"/>
        <v>34.343123333333331</v>
      </c>
      <c r="J4">
        <f t="shared" si="4"/>
        <v>54.824877999999998</v>
      </c>
      <c r="K4">
        <f t="shared" si="5"/>
        <v>164.47463399999998</v>
      </c>
    </row>
    <row r="5" spans="1:11">
      <c r="A5">
        <v>4</v>
      </c>
      <c r="B5" s="6">
        <v>8316331</v>
      </c>
      <c r="C5" s="6">
        <v>5683669</v>
      </c>
      <c r="D5">
        <f t="shared" si="0"/>
        <v>2273467.6</v>
      </c>
      <c r="E5">
        <f t="shared" si="1"/>
        <v>3.789112666666667</v>
      </c>
      <c r="F5">
        <f t="shared" si="2"/>
        <v>16.632662</v>
      </c>
      <c r="G5">
        <f>IFERROR(B5+C5,0)</f>
        <v>14000000</v>
      </c>
      <c r="H5">
        <f>SUM($G$2:G5)</f>
        <v>55211748</v>
      </c>
      <c r="I5">
        <f t="shared" si="3"/>
        <v>46.009789999999995</v>
      </c>
      <c r="J5">
        <f t="shared" si="4"/>
        <v>66.431564666666659</v>
      </c>
      <c r="K5">
        <f t="shared" si="5"/>
        <v>265.72625866666664</v>
      </c>
    </row>
    <row r="6" spans="1:11">
      <c r="A6">
        <v>5</v>
      </c>
      <c r="B6" s="6">
        <v>8199812</v>
      </c>
      <c r="C6" s="6">
        <v>5800188</v>
      </c>
      <c r="D6">
        <f t="shared" si="0"/>
        <v>2320075.2000000002</v>
      </c>
      <c r="E6">
        <f t="shared" si="1"/>
        <v>3.8667920000000007</v>
      </c>
      <c r="F6">
        <f t="shared" si="2"/>
        <v>16.399623999999999</v>
      </c>
      <c r="G6">
        <f>IFERROR(B6+C6,0)</f>
        <v>14000000</v>
      </c>
      <c r="H6">
        <f>SUM($G$2:G6)</f>
        <v>69211748</v>
      </c>
      <c r="I6">
        <f t="shared" si="3"/>
        <v>57.676456666666667</v>
      </c>
      <c r="J6">
        <f t="shared" si="4"/>
        <v>77.942872666666673</v>
      </c>
      <c r="K6">
        <f t="shared" si="5"/>
        <v>389.71436333333338</v>
      </c>
    </row>
    <row r="7" spans="1:11">
      <c r="A7">
        <v>6</v>
      </c>
      <c r="B7" s="6">
        <v>7607392</v>
      </c>
      <c r="C7" s="6">
        <v>6392608</v>
      </c>
      <c r="D7">
        <f t="shared" si="0"/>
        <v>2557043.2000000002</v>
      </c>
      <c r="E7">
        <f t="shared" si="1"/>
        <v>4.261738666666667</v>
      </c>
      <c r="F7">
        <f t="shared" si="2"/>
        <v>15.214784</v>
      </c>
      <c r="G7">
        <f>IFERROR(B7+C7,0)</f>
        <v>14000000</v>
      </c>
      <c r="H7">
        <f>SUM($G$2:G7)</f>
        <v>83211748</v>
      </c>
      <c r="I7">
        <f t="shared" si="3"/>
        <v>69.343123333333324</v>
      </c>
      <c r="J7">
        <f t="shared" si="4"/>
        <v>88.819645999999992</v>
      </c>
      <c r="K7">
        <f t="shared" si="5"/>
        <v>532.91787599999998</v>
      </c>
    </row>
    <row r="8" spans="1:11">
      <c r="A8">
        <v>7</v>
      </c>
      <c r="B8" s="6">
        <v>7667395</v>
      </c>
      <c r="C8" s="6">
        <v>6332605</v>
      </c>
      <c r="D8">
        <f t="shared" si="0"/>
        <v>2533042</v>
      </c>
      <c r="E8">
        <f t="shared" si="1"/>
        <v>4.2217366666666667</v>
      </c>
      <c r="F8">
        <f t="shared" si="2"/>
        <v>15.33479</v>
      </c>
      <c r="G8">
        <f>IFERROR(B8+C8,0)</f>
        <v>14000000</v>
      </c>
      <c r="H8">
        <f>SUM($G$2:G8)</f>
        <v>97211748</v>
      </c>
      <c r="I8">
        <f t="shared" si="3"/>
        <v>81.009789999999995</v>
      </c>
      <c r="J8">
        <f t="shared" si="4"/>
        <v>100.56631666666667</v>
      </c>
      <c r="K8">
        <f t="shared" si="5"/>
        <v>703.96421666666663</v>
      </c>
    </row>
    <row r="9" spans="1:11">
      <c r="A9">
        <v>8</v>
      </c>
      <c r="B9" s="6">
        <v>8500000</v>
      </c>
      <c r="C9" s="6">
        <v>5395263</v>
      </c>
      <c r="D9">
        <f t="shared" si="0"/>
        <v>2158105.2000000002</v>
      </c>
      <c r="E9">
        <f t="shared" si="1"/>
        <v>3.5968420000000005</v>
      </c>
      <c r="F9">
        <f t="shared" si="2"/>
        <v>17</v>
      </c>
      <c r="G9">
        <f>IFERROR(B9+C9,0)</f>
        <v>13895263</v>
      </c>
      <c r="H9">
        <f>SUM($G$2:G9)</f>
        <v>111107011</v>
      </c>
      <c r="I9">
        <f t="shared" si="3"/>
        <v>92.589175833333329</v>
      </c>
      <c r="J9">
        <f t="shared" si="4"/>
        <v>113.18601783333332</v>
      </c>
      <c r="K9">
        <f t="shared" si="5"/>
        <v>905.48814266666659</v>
      </c>
    </row>
    <row r="10" spans="1:11">
      <c r="A10">
        <v>9</v>
      </c>
      <c r="B10" s="6">
        <v>8500000</v>
      </c>
      <c r="C10" s="6">
        <v>4363122</v>
      </c>
      <c r="D10">
        <f t="shared" si="0"/>
        <v>1745248.8</v>
      </c>
      <c r="E10">
        <f t="shared" si="1"/>
        <v>2.9087480000000001</v>
      </c>
      <c r="F10">
        <f t="shared" si="2"/>
        <v>17</v>
      </c>
      <c r="G10">
        <f>IFERROR(B10+C10,0)</f>
        <v>12863122</v>
      </c>
      <c r="H10">
        <f>SUM($G$2:G10)</f>
        <v>123970133</v>
      </c>
      <c r="I10">
        <f t="shared" si="3"/>
        <v>103.30844416666667</v>
      </c>
      <c r="J10">
        <f t="shared" si="4"/>
        <v>123.21719216666668</v>
      </c>
      <c r="K10">
        <f t="shared" si="5"/>
        <v>1108.9547295000002</v>
      </c>
    </row>
    <row r="11" spans="1:11">
      <c r="A11">
        <v>10</v>
      </c>
      <c r="B11" s="6">
        <v>8500000</v>
      </c>
      <c r="C11" s="6">
        <v>4442005</v>
      </c>
      <c r="D11">
        <f t="shared" si="0"/>
        <v>1776802</v>
      </c>
      <c r="E11">
        <f t="shared" si="1"/>
        <v>2.9613366666666665</v>
      </c>
      <c r="F11">
        <f t="shared" si="2"/>
        <v>17</v>
      </c>
      <c r="G11">
        <f>IFERROR(B11+C11,0)</f>
        <v>12942005</v>
      </c>
      <c r="H11">
        <f>SUM($G$2:G11)</f>
        <v>136912138</v>
      </c>
      <c r="I11">
        <f t="shared" si="3"/>
        <v>114.09344833333334</v>
      </c>
      <c r="J11">
        <f t="shared" si="4"/>
        <v>134.05478500000001</v>
      </c>
      <c r="K11">
        <f t="shared" si="5"/>
        <v>1340.5478500000002</v>
      </c>
    </row>
    <row r="12" spans="1:11">
      <c r="A12">
        <v>11</v>
      </c>
      <c r="B12" s="6">
        <v>8500000</v>
      </c>
      <c r="C12" s="6">
        <v>4314333</v>
      </c>
      <c r="D12">
        <f t="shared" si="0"/>
        <v>1725733.2</v>
      </c>
      <c r="E12">
        <f t="shared" si="1"/>
        <v>2.8762219999999998</v>
      </c>
      <c r="F12">
        <f t="shared" si="2"/>
        <v>17</v>
      </c>
      <c r="G12">
        <f>IFERROR(B12+C12,0)</f>
        <v>12814333</v>
      </c>
      <c r="H12">
        <f>SUM($G$2:G12)</f>
        <v>149726471</v>
      </c>
      <c r="I12">
        <f t="shared" si="3"/>
        <v>124.77205916666665</v>
      </c>
      <c r="J12">
        <f t="shared" si="4"/>
        <v>144.64828116666666</v>
      </c>
      <c r="K12">
        <f t="shared" si="5"/>
        <v>1591.1310928333332</v>
      </c>
    </row>
    <row r="13" spans="1:11">
      <c r="A13">
        <v>12</v>
      </c>
      <c r="B13" s="6">
        <v>8500000</v>
      </c>
      <c r="C13" s="6">
        <v>4195986</v>
      </c>
      <c r="D13">
        <f t="shared" si="0"/>
        <v>1678394.4</v>
      </c>
      <c r="E13">
        <f t="shared" si="1"/>
        <v>2.7973239999999997</v>
      </c>
      <c r="F13">
        <f t="shared" si="2"/>
        <v>17</v>
      </c>
      <c r="G13">
        <f>IFERROR(B13+C13,0)</f>
        <v>12695986</v>
      </c>
      <c r="H13">
        <f>SUM($G$2:G13)</f>
        <v>162422457</v>
      </c>
      <c r="I13">
        <f t="shared" si="3"/>
        <v>135.3520475</v>
      </c>
      <c r="J13">
        <f t="shared" si="4"/>
        <v>155.1493715</v>
      </c>
      <c r="K13">
        <f t="shared" si="5"/>
        <v>1861.7924579999999</v>
      </c>
    </row>
    <row r="14" spans="1:11">
      <c r="A14">
        <v>13</v>
      </c>
      <c r="B14" s="6">
        <v>8500000</v>
      </c>
      <c r="C14" s="6">
        <v>4774082</v>
      </c>
      <c r="D14">
        <f t="shared" si="0"/>
        <v>1909632.8</v>
      </c>
      <c r="E14">
        <f t="shared" si="1"/>
        <v>3.1827213333333333</v>
      </c>
      <c r="F14">
        <f t="shared" si="2"/>
        <v>17</v>
      </c>
      <c r="G14">
        <f>IFERROR(B14+C14,0)</f>
        <v>13274082</v>
      </c>
      <c r="H14">
        <f>SUM($G$2:G14)</f>
        <v>175696539</v>
      </c>
      <c r="I14">
        <f t="shared" si="3"/>
        <v>146.4137825</v>
      </c>
      <c r="J14">
        <f t="shared" si="4"/>
        <v>166.59650383333332</v>
      </c>
      <c r="K14">
        <f t="shared" si="5"/>
        <v>2165.7545498333329</v>
      </c>
    </row>
    <row r="15" spans="1:11">
      <c r="A15">
        <v>14</v>
      </c>
      <c r="B15" s="6">
        <v>8498083</v>
      </c>
      <c r="C15" s="6">
        <v>5501917</v>
      </c>
      <c r="D15">
        <f t="shared" si="0"/>
        <v>2200766.7999999998</v>
      </c>
      <c r="E15">
        <f t="shared" si="1"/>
        <v>3.6679446666666662</v>
      </c>
      <c r="F15">
        <f t="shared" si="2"/>
        <v>16.996165999999999</v>
      </c>
      <c r="G15">
        <f>IFERROR(B15+C15,0)</f>
        <v>14000000</v>
      </c>
      <c r="H15">
        <f>SUM($G$2:G15)</f>
        <v>189696539</v>
      </c>
      <c r="I15">
        <f t="shared" si="3"/>
        <v>158.08044916666665</v>
      </c>
      <c r="J15">
        <f t="shared" si="4"/>
        <v>178.74455983333331</v>
      </c>
      <c r="K15">
        <f t="shared" si="5"/>
        <v>2502.4238376666663</v>
      </c>
    </row>
    <row r="16" spans="1:11">
      <c r="A16">
        <v>15</v>
      </c>
      <c r="B16" s="6">
        <v>8500000</v>
      </c>
      <c r="C16" s="6">
        <v>5497785</v>
      </c>
      <c r="D16">
        <f t="shared" si="0"/>
        <v>2199114</v>
      </c>
      <c r="E16">
        <f t="shared" si="1"/>
        <v>3.6651899999999999</v>
      </c>
      <c r="F16">
        <f t="shared" si="2"/>
        <v>17</v>
      </c>
      <c r="G16">
        <f>IFERROR(B16+C16,0)</f>
        <v>13997785</v>
      </c>
      <c r="H16">
        <f>SUM($G$2:G16)</f>
        <v>203694324</v>
      </c>
      <c r="I16">
        <f t="shared" si="3"/>
        <v>169.74527</v>
      </c>
      <c r="J16">
        <f t="shared" si="4"/>
        <v>190.41046</v>
      </c>
      <c r="K16">
        <f t="shared" si="5"/>
        <v>2856.1569</v>
      </c>
    </row>
    <row r="17" spans="1:11">
      <c r="A17">
        <v>16</v>
      </c>
      <c r="B17" s="6">
        <v>7938657</v>
      </c>
      <c r="C17" s="6">
        <v>6061343</v>
      </c>
      <c r="D17">
        <f t="shared" si="0"/>
        <v>2424537.2000000002</v>
      </c>
      <c r="E17">
        <f t="shared" si="1"/>
        <v>4.0408953333333342</v>
      </c>
      <c r="F17">
        <f t="shared" si="2"/>
        <v>15.877314</v>
      </c>
      <c r="G17">
        <f>IFERROR(B17+C17,0)</f>
        <v>14000000</v>
      </c>
      <c r="H17">
        <f>SUM($G$2:G17)</f>
        <v>217694324</v>
      </c>
      <c r="I17">
        <f t="shared" si="3"/>
        <v>181.41193666666663</v>
      </c>
      <c r="J17">
        <f t="shared" si="4"/>
        <v>201.33014599999998</v>
      </c>
      <c r="K17">
        <f t="shared" si="5"/>
        <v>3221.2823359999998</v>
      </c>
    </row>
    <row r="18" spans="1:11">
      <c r="A18">
        <v>17</v>
      </c>
      <c r="B18" s="6">
        <v>6345629</v>
      </c>
      <c r="C18" s="6">
        <v>7654371</v>
      </c>
      <c r="D18">
        <f t="shared" si="0"/>
        <v>3061748.4</v>
      </c>
      <c r="E18">
        <f t="shared" si="1"/>
        <v>5.1029140000000002</v>
      </c>
      <c r="F18">
        <f t="shared" si="2"/>
        <v>12.691257999999999</v>
      </c>
      <c r="G18">
        <f>IFERROR(B18+C18,0)</f>
        <v>14000000</v>
      </c>
      <c r="H18">
        <f>SUM($G$2:G18)</f>
        <v>231694324</v>
      </c>
      <c r="I18">
        <f t="shared" si="3"/>
        <v>193.07860333333332</v>
      </c>
      <c r="J18">
        <f t="shared" si="4"/>
        <v>210.87277533333332</v>
      </c>
      <c r="K18">
        <f t="shared" si="5"/>
        <v>3584.8371806666664</v>
      </c>
    </row>
    <row r="19" spans="1:11">
      <c r="A19">
        <v>18</v>
      </c>
      <c r="B19" s="6">
        <v>7037069</v>
      </c>
      <c r="C19" s="6">
        <v>6962931</v>
      </c>
      <c r="D19">
        <f t="shared" si="0"/>
        <v>2785172.4</v>
      </c>
      <c r="E19">
        <f t="shared" si="1"/>
        <v>4.6419540000000001</v>
      </c>
      <c r="F19">
        <f t="shared" si="2"/>
        <v>14.074138</v>
      </c>
      <c r="G19">
        <f>IFERROR(B19+C19,0)</f>
        <v>14000000</v>
      </c>
      <c r="H19">
        <f>SUM($G$2:G19)</f>
        <v>245694324</v>
      </c>
      <c r="I19">
        <f t="shared" si="3"/>
        <v>204.74527</v>
      </c>
      <c r="J19">
        <f t="shared" si="4"/>
        <v>223.46136200000001</v>
      </c>
      <c r="K19">
        <f t="shared" si="5"/>
        <v>4022.3045160000001</v>
      </c>
    </row>
    <row r="20" spans="1:11">
      <c r="A20">
        <v>19</v>
      </c>
      <c r="B20" s="6">
        <v>6357755</v>
      </c>
      <c r="C20" s="6">
        <v>7642245</v>
      </c>
      <c r="D20">
        <f t="shared" si="0"/>
        <v>3056898</v>
      </c>
      <c r="E20">
        <f t="shared" si="1"/>
        <v>5.09483</v>
      </c>
      <c r="F20">
        <f t="shared" si="2"/>
        <v>12.71551</v>
      </c>
      <c r="G20">
        <f>IFERROR(B20+C20,0)</f>
        <v>14000000</v>
      </c>
      <c r="H20">
        <f>SUM($G$2:G20)</f>
        <v>259694324</v>
      </c>
      <c r="I20">
        <f t="shared" si="3"/>
        <v>216.41193666666666</v>
      </c>
      <c r="J20">
        <f t="shared" si="4"/>
        <v>234.22227666666666</v>
      </c>
      <c r="K20">
        <f t="shared" si="5"/>
        <v>4450.2232566666662</v>
      </c>
    </row>
    <row r="21" spans="1:11">
      <c r="A21">
        <v>20</v>
      </c>
      <c r="B21" s="6">
        <v>5054771</v>
      </c>
      <c r="C21" s="6">
        <v>8945229</v>
      </c>
      <c r="D21">
        <f t="shared" si="0"/>
        <v>3578091.6</v>
      </c>
      <c r="E21">
        <f t="shared" si="1"/>
        <v>5.9634859999999996</v>
      </c>
      <c r="F21">
        <f t="shared" si="2"/>
        <v>10.109541999999999</v>
      </c>
      <c r="G21">
        <f>IFERROR(B21+C21,0)</f>
        <v>14000000</v>
      </c>
      <c r="H21">
        <f>SUM($G$2:G21)</f>
        <v>273694324</v>
      </c>
      <c r="I21">
        <f t="shared" si="3"/>
        <v>228.07860333333332</v>
      </c>
      <c r="J21">
        <f t="shared" si="4"/>
        <v>244.15163133333331</v>
      </c>
      <c r="K21">
        <f t="shared" si="5"/>
        <v>4883.0326266666661</v>
      </c>
    </row>
    <row r="22" spans="1:11">
      <c r="A22">
        <v>21</v>
      </c>
      <c r="B22" s="6">
        <v>7168780</v>
      </c>
      <c r="C22" s="6">
        <v>6831220</v>
      </c>
      <c r="D22">
        <f t="shared" si="0"/>
        <v>2732488</v>
      </c>
      <c r="E22">
        <f t="shared" si="1"/>
        <v>4.554146666666667</v>
      </c>
      <c r="F22">
        <f t="shared" si="2"/>
        <v>14.33756</v>
      </c>
      <c r="G22">
        <f>IFERROR(B22+C22,0)</f>
        <v>14000000</v>
      </c>
      <c r="H22">
        <f>SUM($G$2:G22)</f>
        <v>287694324</v>
      </c>
      <c r="I22">
        <f t="shared" si="3"/>
        <v>239.74526999999998</v>
      </c>
      <c r="J22">
        <f t="shared" si="4"/>
        <v>258.63697666666661</v>
      </c>
      <c r="K22">
        <f t="shared" si="5"/>
        <v>5431.3765099999991</v>
      </c>
    </row>
    <row r="23" spans="1:11">
      <c r="A23">
        <v>22</v>
      </c>
      <c r="B23" s="6">
        <v>6141026</v>
      </c>
      <c r="C23" s="6">
        <v>7858974</v>
      </c>
      <c r="D23">
        <f t="shared" si="0"/>
        <v>3143589.6</v>
      </c>
      <c r="E23">
        <f t="shared" si="1"/>
        <v>5.2393160000000005</v>
      </c>
      <c r="F23">
        <f t="shared" si="2"/>
        <v>12.282052</v>
      </c>
      <c r="G23">
        <f>IFERROR(B23+C23,0)</f>
        <v>14000000</v>
      </c>
      <c r="H23">
        <f>SUM($G$2:G23)</f>
        <v>301694324</v>
      </c>
      <c r="I23">
        <f t="shared" si="3"/>
        <v>251.41193666666666</v>
      </c>
      <c r="J23">
        <f t="shared" si="4"/>
        <v>268.93330466666663</v>
      </c>
      <c r="K23">
        <f t="shared" si="5"/>
        <v>5916.5327026666655</v>
      </c>
    </row>
    <row r="24" spans="1:11">
      <c r="A24">
        <v>23</v>
      </c>
      <c r="B24" s="6">
        <v>4899763</v>
      </c>
      <c r="C24" s="6">
        <v>9100237</v>
      </c>
      <c r="D24">
        <f t="shared" si="0"/>
        <v>3640094.8</v>
      </c>
      <c r="E24">
        <f t="shared" si="1"/>
        <v>6.0668246666666663</v>
      </c>
      <c r="F24">
        <f t="shared" si="2"/>
        <v>9.7995260000000002</v>
      </c>
      <c r="G24">
        <f>IFERROR(B24+C24,0)</f>
        <v>14000000</v>
      </c>
      <c r="H24">
        <f>SUM($G$2:G24)</f>
        <v>315694324</v>
      </c>
      <c r="I24">
        <f t="shared" si="3"/>
        <v>263.07860333333332</v>
      </c>
      <c r="J24">
        <f t="shared" si="4"/>
        <v>278.944954</v>
      </c>
      <c r="K24">
        <f t="shared" si="5"/>
        <v>6415.7339419999998</v>
      </c>
    </row>
    <row r="25" spans="1:11">
      <c r="A25">
        <v>24</v>
      </c>
      <c r="B25" s="6">
        <v>4392587</v>
      </c>
      <c r="C25" s="6">
        <v>9607413</v>
      </c>
      <c r="D25">
        <f t="shared" si="0"/>
        <v>3842965.2</v>
      </c>
      <c r="E25">
        <f t="shared" si="1"/>
        <v>6.4049420000000001</v>
      </c>
      <c r="F25">
        <f t="shared" si="2"/>
        <v>8.7851739999999996</v>
      </c>
      <c r="G25">
        <f>IFERROR(B25+C25,0)</f>
        <v>14000000</v>
      </c>
      <c r="H25">
        <f>SUM($G$2:G25)</f>
        <v>329694324</v>
      </c>
      <c r="I25">
        <f t="shared" si="3"/>
        <v>274.74526999999995</v>
      </c>
      <c r="J25">
        <f t="shared" si="4"/>
        <v>289.93538599999994</v>
      </c>
      <c r="K25">
        <f t="shared" si="5"/>
        <v>6958.4492639999989</v>
      </c>
    </row>
    <row r="26" spans="1:11">
      <c r="A26">
        <v>25</v>
      </c>
      <c r="B26" s="6">
        <v>4598440</v>
      </c>
      <c r="C26" s="6">
        <v>9401560</v>
      </c>
      <c r="D26">
        <f t="shared" si="0"/>
        <v>3760624</v>
      </c>
      <c r="E26">
        <f t="shared" si="1"/>
        <v>6.2677066666666663</v>
      </c>
      <c r="F26">
        <f t="shared" si="2"/>
        <v>9.1968800000000002</v>
      </c>
      <c r="G26">
        <f>IFERROR(B26+C26,0)</f>
        <v>14000000</v>
      </c>
      <c r="H26">
        <f>SUM($G$2:G26)</f>
        <v>343694324</v>
      </c>
      <c r="I26">
        <f t="shared" si="3"/>
        <v>286.41193666666669</v>
      </c>
      <c r="J26">
        <f t="shared" si="4"/>
        <v>301.87652333333335</v>
      </c>
      <c r="K26">
        <f t="shared" si="5"/>
        <v>7546.9130833333338</v>
      </c>
    </row>
    <row r="27" spans="1:11">
      <c r="A27">
        <v>26</v>
      </c>
      <c r="B27" s="6">
        <v>4292509</v>
      </c>
      <c r="C27" s="6">
        <v>9707491</v>
      </c>
      <c r="D27">
        <f t="shared" si="0"/>
        <v>3882996.4</v>
      </c>
      <c r="E27">
        <f t="shared" si="1"/>
        <v>6.4716606666666667</v>
      </c>
      <c r="F27">
        <f t="shared" si="2"/>
        <v>8.5850179999999998</v>
      </c>
      <c r="G27">
        <f>IFERROR(B27+C27,0)</f>
        <v>14000000</v>
      </c>
      <c r="H27">
        <f>SUM($G$2:G27)</f>
        <v>357694324</v>
      </c>
      <c r="I27">
        <f t="shared" si="3"/>
        <v>298.07860333333332</v>
      </c>
      <c r="J27">
        <f t="shared" si="4"/>
        <v>313.13528199999996</v>
      </c>
      <c r="K27">
        <f t="shared" si="5"/>
        <v>8141.5173319999994</v>
      </c>
    </row>
    <row r="28" spans="1:11">
      <c r="A28">
        <v>27</v>
      </c>
      <c r="B28" s="6">
        <v>3778494</v>
      </c>
      <c r="C28" s="6">
        <v>10221506</v>
      </c>
      <c r="D28">
        <f t="shared" si="0"/>
        <v>4088602.4</v>
      </c>
      <c r="E28">
        <f t="shared" si="1"/>
        <v>6.8143373333333335</v>
      </c>
      <c r="F28">
        <f t="shared" si="2"/>
        <v>7.5569879999999996</v>
      </c>
      <c r="G28">
        <f>IFERROR(B28+C28,0)</f>
        <v>14000000</v>
      </c>
      <c r="H28">
        <f>SUM($G$2:G28)</f>
        <v>371694324</v>
      </c>
      <c r="I28">
        <f t="shared" si="3"/>
        <v>309.74526999999995</v>
      </c>
      <c r="J28">
        <f t="shared" si="4"/>
        <v>324.11659533333329</v>
      </c>
      <c r="K28">
        <f t="shared" si="5"/>
        <v>8751.1480739999988</v>
      </c>
    </row>
    <row r="29" spans="1:11">
      <c r="A29">
        <v>28</v>
      </c>
      <c r="B29" s="6">
        <v>3514765</v>
      </c>
      <c r="C29" s="6">
        <v>10485235</v>
      </c>
      <c r="D29">
        <f t="shared" si="0"/>
        <v>4194094</v>
      </c>
      <c r="E29">
        <f t="shared" si="1"/>
        <v>6.9901566666666666</v>
      </c>
      <c r="F29">
        <f t="shared" si="2"/>
        <v>7.0295300000000003</v>
      </c>
      <c r="G29">
        <f>IFERROR(B29+C29,0)</f>
        <v>14000000</v>
      </c>
      <c r="H29">
        <f>SUM($G$2:G29)</f>
        <v>385694324</v>
      </c>
      <c r="I29">
        <f t="shared" si="3"/>
        <v>321.41193666666669</v>
      </c>
      <c r="J29">
        <f t="shared" si="4"/>
        <v>335.43162333333339</v>
      </c>
      <c r="K29">
        <f t="shared" si="5"/>
        <v>9392.085453333335</v>
      </c>
    </row>
    <row r="30" spans="1:11">
      <c r="A30">
        <v>29</v>
      </c>
      <c r="B30" s="6">
        <v>3815881</v>
      </c>
      <c r="C30" s="6">
        <v>10184119</v>
      </c>
      <c r="D30">
        <f t="shared" si="0"/>
        <v>4073647.6</v>
      </c>
      <c r="E30">
        <f t="shared" si="1"/>
        <v>6.7894126666666663</v>
      </c>
      <c r="F30">
        <f t="shared" si="2"/>
        <v>7.6317620000000002</v>
      </c>
      <c r="G30">
        <f>IFERROR(B30+C30,0)</f>
        <v>14000000</v>
      </c>
      <c r="H30">
        <f>SUM($G$2:G30)</f>
        <v>399694324</v>
      </c>
      <c r="I30">
        <f t="shared" si="3"/>
        <v>333.07860333333332</v>
      </c>
      <c r="J30">
        <f t="shared" si="4"/>
        <v>347.49977799999999</v>
      </c>
      <c r="K30">
        <f t="shared" si="5"/>
        <v>10077.493562</v>
      </c>
    </row>
    <row r="31" spans="1:11">
      <c r="A31">
        <v>30</v>
      </c>
      <c r="B31" s="6">
        <v>3725326</v>
      </c>
      <c r="C31" s="6">
        <v>10274674</v>
      </c>
      <c r="D31">
        <f t="shared" si="0"/>
        <v>4109869.6</v>
      </c>
      <c r="E31">
        <f t="shared" si="1"/>
        <v>6.8497826666666679</v>
      </c>
      <c r="F31">
        <f t="shared" si="2"/>
        <v>7.4506519999999998</v>
      </c>
      <c r="G31">
        <f>IFERROR(B31+C31,0)</f>
        <v>14000000</v>
      </c>
      <c r="H31">
        <f>SUM($G$2:G31)</f>
        <v>413694324</v>
      </c>
      <c r="I31">
        <f t="shared" si="3"/>
        <v>344.74526999999995</v>
      </c>
      <c r="J31">
        <f t="shared" si="4"/>
        <v>359.04570466666661</v>
      </c>
      <c r="K31">
        <f t="shared" si="5"/>
        <v>10771.371139999997</v>
      </c>
    </row>
    <row r="32" spans="1:11">
      <c r="A32">
        <v>31</v>
      </c>
      <c r="B32" s="6">
        <v>2620349</v>
      </c>
      <c r="C32" s="6">
        <v>11379651</v>
      </c>
      <c r="D32">
        <f t="shared" si="0"/>
        <v>4551860.4000000004</v>
      </c>
      <c r="E32">
        <f t="shared" si="1"/>
        <v>7.5864340000000015</v>
      </c>
      <c r="F32">
        <f t="shared" si="2"/>
        <v>5.2406980000000001</v>
      </c>
      <c r="G32">
        <f t="shared" ref="G32:G34" si="6">IFERROR(B32+C32,0)</f>
        <v>14000000</v>
      </c>
      <c r="H32">
        <f>SUM($G$2:G32)</f>
        <v>427694324</v>
      </c>
      <c r="I32">
        <f t="shared" si="3"/>
        <v>356.41193666666669</v>
      </c>
      <c r="J32">
        <f t="shared" si="4"/>
        <v>369.2390686666667</v>
      </c>
      <c r="K32">
        <f t="shared" si="5"/>
        <v>11446.411128666668</v>
      </c>
    </row>
    <row r="33" spans="1:11">
      <c r="A33">
        <v>32</v>
      </c>
      <c r="B33" s="6">
        <v>4111386</v>
      </c>
      <c r="C33" s="6">
        <v>9888614</v>
      </c>
      <c r="D33">
        <f t="shared" si="0"/>
        <v>3955445.6</v>
      </c>
      <c r="E33">
        <f t="shared" si="1"/>
        <v>6.5924093333333333</v>
      </c>
      <c r="F33">
        <f t="shared" si="2"/>
        <v>8.2227720000000009</v>
      </c>
      <c r="G33">
        <f t="shared" si="6"/>
        <v>14000000</v>
      </c>
      <c r="H33">
        <f>SUM($G$2:G33)</f>
        <v>441694324</v>
      </c>
      <c r="I33">
        <f>((H33/2.5)/48)/10000</f>
        <v>368.07860333333332</v>
      </c>
      <c r="J33">
        <f t="shared" si="4"/>
        <v>382.89378466666665</v>
      </c>
      <c r="K33">
        <f t="shared" si="5"/>
        <v>12252.601109333333</v>
      </c>
    </row>
    <row r="34" spans="1:11">
      <c r="A34">
        <v>33</v>
      </c>
      <c r="B34" s="6">
        <v>5409319</v>
      </c>
      <c r="C34" s="6">
        <v>8512356</v>
      </c>
      <c r="D34">
        <f t="shared" si="0"/>
        <v>3404942.4</v>
      </c>
      <c r="E34">
        <f t="shared" si="1"/>
        <v>5.6749039999999997</v>
      </c>
      <c r="F34">
        <f t="shared" si="2"/>
        <v>10.818638</v>
      </c>
      <c r="G34">
        <f t="shared" si="6"/>
        <v>13921675</v>
      </c>
      <c r="H34">
        <f>SUM($G$2:G34)</f>
        <v>455615999</v>
      </c>
      <c r="I34">
        <f>((H34/2.5)/48)/10000</f>
        <v>379.67999916666668</v>
      </c>
      <c r="J34">
        <f t="shared" si="4"/>
        <v>396.17354116666672</v>
      </c>
      <c r="K34">
        <f t="shared" si="5"/>
        <v>13073.726858500002</v>
      </c>
    </row>
    <row r="35" spans="1:11">
      <c r="C35" s="5">
        <f>SUM(C2:C33)</f>
        <v>230612124</v>
      </c>
    </row>
    <row r="37" spans="1:11">
      <c r="H37" s="14" t="s">
        <v>37</v>
      </c>
      <c r="I37" t="s">
        <v>2</v>
      </c>
      <c r="J37" s="15">
        <f>MAX(K2:K33)</f>
        <v>12252.601109333333</v>
      </c>
    </row>
    <row r="38" spans="1:11">
      <c r="I38" t="s">
        <v>3</v>
      </c>
      <c r="J38" s="15">
        <f>MAX(J2:J33)</f>
        <v>382.89378466666665</v>
      </c>
    </row>
    <row r="42" spans="1:11">
      <c r="A42" s="6"/>
      <c r="B42" s="7"/>
      <c r="C42" s="7"/>
      <c r="D42" s="6"/>
      <c r="E42" s="6"/>
      <c r="F42" s="7"/>
    </row>
    <row r="43" spans="1:11" ht="15.75" thickBot="1">
      <c r="A43" s="6"/>
      <c r="B43" s="7"/>
      <c r="C43" s="7"/>
      <c r="D43" s="6"/>
      <c r="E43" s="6"/>
      <c r="F43" s="7"/>
    </row>
    <row r="44" spans="1:11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1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1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1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1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8" spans="1:9">
      <c r="A58" s="6">
        <v>1</v>
      </c>
      <c r="B58" s="6">
        <v>8500000</v>
      </c>
      <c r="C58" s="6">
        <v>5449307</v>
      </c>
      <c r="D58" s="6">
        <v>0.64</v>
      </c>
      <c r="E58" s="6">
        <v>2.3948999999999998</v>
      </c>
      <c r="F58" s="6">
        <v>732712048</v>
      </c>
      <c r="G58" s="6">
        <v>666101861</v>
      </c>
    </row>
    <row r="59" spans="1:9">
      <c r="A59" s="6">
        <v>2</v>
      </c>
      <c r="B59" s="6">
        <v>8500000</v>
      </c>
      <c r="C59" s="6">
        <v>5039809</v>
      </c>
      <c r="D59" s="6">
        <v>0.59</v>
      </c>
      <c r="E59" s="6">
        <v>1.7252000000000001</v>
      </c>
      <c r="F59" s="6">
        <v>470620428</v>
      </c>
      <c r="G59" s="6">
        <v>388942502</v>
      </c>
    </row>
    <row r="60" spans="1:9">
      <c r="A60" s="6">
        <v>3</v>
      </c>
      <c r="B60" s="6">
        <v>8500000</v>
      </c>
      <c r="C60" s="6">
        <v>5222632</v>
      </c>
      <c r="D60" s="6">
        <v>0.61</v>
      </c>
      <c r="E60" s="6">
        <v>1.8683000000000001</v>
      </c>
      <c r="F60" s="6">
        <v>526309279</v>
      </c>
      <c r="G60" s="6">
        <v>395423952</v>
      </c>
    </row>
    <row r="61" spans="1:9">
      <c r="A61" s="6">
        <v>4</v>
      </c>
      <c r="B61" s="6">
        <v>8316331</v>
      </c>
      <c r="C61" s="6">
        <v>5683669</v>
      </c>
      <c r="D61" s="6">
        <v>0.68</v>
      </c>
      <c r="E61" s="6">
        <v>2.2595000000000001</v>
      </c>
      <c r="F61" s="6">
        <v>663624421</v>
      </c>
      <c r="G61" s="6">
        <v>453264409</v>
      </c>
    </row>
    <row r="62" spans="1:9">
      <c r="A62" s="6">
        <v>5</v>
      </c>
      <c r="B62" s="6">
        <v>8199812</v>
      </c>
      <c r="C62" s="6">
        <v>5800188</v>
      </c>
      <c r="D62" s="6">
        <v>0.71</v>
      </c>
      <c r="E62" s="6">
        <v>2.4708999999999999</v>
      </c>
      <c r="F62" s="6">
        <v>733896406</v>
      </c>
      <c r="G62" s="6">
        <v>455691927</v>
      </c>
    </row>
    <row r="63" spans="1:9">
      <c r="A63" s="6">
        <v>6</v>
      </c>
      <c r="B63" s="6">
        <v>7607392</v>
      </c>
      <c r="C63" s="6">
        <v>6392608</v>
      </c>
      <c r="D63" s="6">
        <v>0.84</v>
      </c>
      <c r="E63" s="6">
        <v>2.4594999999999998</v>
      </c>
      <c r="F63" s="6">
        <v>673560007</v>
      </c>
      <c r="G63" s="6">
        <v>380207064</v>
      </c>
    </row>
    <row r="64" spans="1:9">
      <c r="A64" s="6">
        <v>7</v>
      </c>
      <c r="B64" s="6">
        <v>7667395</v>
      </c>
      <c r="C64" s="6">
        <v>6332605</v>
      </c>
      <c r="D64" s="6">
        <v>0.83</v>
      </c>
      <c r="E64" s="6">
        <v>2.4329999999999998</v>
      </c>
      <c r="F64" s="6">
        <v>669802147</v>
      </c>
      <c r="G64" s="6">
        <v>343714409</v>
      </c>
    </row>
    <row r="65" spans="1:7">
      <c r="A65" s="6">
        <v>8</v>
      </c>
      <c r="B65" s="6">
        <v>8500000</v>
      </c>
      <c r="C65" s="6">
        <v>5395263</v>
      </c>
      <c r="D65" s="6">
        <v>0.63</v>
      </c>
      <c r="E65" s="6">
        <v>2.4607999999999999</v>
      </c>
      <c r="F65" s="6">
        <v>758836774</v>
      </c>
      <c r="G65" s="6">
        <v>354002955</v>
      </c>
    </row>
    <row r="66" spans="1:7">
      <c r="A66" s="6">
        <v>9</v>
      </c>
      <c r="B66" s="6">
        <v>8500000</v>
      </c>
      <c r="C66" s="6">
        <v>4363122</v>
      </c>
      <c r="D66" s="6">
        <v>0.51</v>
      </c>
      <c r="E66" s="6">
        <v>2.3449</v>
      </c>
      <c r="F66" s="6">
        <v>716614374</v>
      </c>
      <c r="G66" s="6">
        <v>303914449</v>
      </c>
    </row>
    <row r="67" spans="1:7">
      <c r="A67" s="6">
        <v>10</v>
      </c>
      <c r="B67" s="6">
        <v>8500000</v>
      </c>
      <c r="C67" s="6">
        <v>4442005</v>
      </c>
      <c r="D67" s="6">
        <v>0.52</v>
      </c>
      <c r="E67" s="6">
        <v>2.3412999999999999</v>
      </c>
      <c r="F67" s="6">
        <v>714920052</v>
      </c>
      <c r="G67" s="6">
        <v>275632628</v>
      </c>
    </row>
    <row r="68" spans="1:7">
      <c r="A68" s="6">
        <v>11</v>
      </c>
      <c r="B68" s="6">
        <v>8500000</v>
      </c>
      <c r="C68" s="6">
        <v>4314333</v>
      </c>
      <c r="D68" s="6">
        <v>0.51</v>
      </c>
      <c r="E68" s="6">
        <v>2.3536000000000001</v>
      </c>
      <c r="F68" s="6">
        <v>720212032</v>
      </c>
      <c r="G68" s="6">
        <v>252429924</v>
      </c>
    </row>
    <row r="69" spans="1:7">
      <c r="A69" s="6">
        <v>12</v>
      </c>
      <c r="B69" s="6">
        <v>8500000</v>
      </c>
      <c r="C69" s="6">
        <v>4195986</v>
      </c>
      <c r="D69" s="6">
        <v>0.49</v>
      </c>
      <c r="E69" s="6">
        <v>2.4188000000000001</v>
      </c>
      <c r="F69" s="6">
        <v>746229887</v>
      </c>
      <c r="G69" s="6">
        <v>237771839</v>
      </c>
    </row>
    <row r="70" spans="1:7">
      <c r="A70" s="6">
        <v>13</v>
      </c>
      <c r="B70" s="6">
        <v>8500000</v>
      </c>
      <c r="C70" s="6">
        <v>4774082</v>
      </c>
      <c r="D70" s="6">
        <v>0.56000000000000005</v>
      </c>
      <c r="E70" s="6">
        <v>2.4668999999999999</v>
      </c>
      <c r="F70" s="6">
        <v>763253151</v>
      </c>
      <c r="G70" s="6">
        <v>221087250</v>
      </c>
    </row>
    <row r="71" spans="1:7">
      <c r="A71" s="6">
        <v>14</v>
      </c>
      <c r="B71" s="6">
        <v>8498083</v>
      </c>
      <c r="C71" s="6">
        <v>5501917</v>
      </c>
      <c r="D71" s="6">
        <v>0.65</v>
      </c>
      <c r="E71" s="6">
        <v>2.6036999999999999</v>
      </c>
      <c r="F71" s="6">
        <v>814495927</v>
      </c>
      <c r="G71" s="6">
        <v>214482234</v>
      </c>
    </row>
    <row r="72" spans="1:7">
      <c r="A72" s="6">
        <v>15</v>
      </c>
      <c r="B72" s="6">
        <v>8500000</v>
      </c>
      <c r="C72" s="6">
        <v>5497785</v>
      </c>
      <c r="D72" s="6">
        <v>0.65</v>
      </c>
      <c r="E72" s="6">
        <v>3.0756000000000001</v>
      </c>
      <c r="F72" s="6">
        <v>1000315190</v>
      </c>
      <c r="G72" s="6">
        <v>239467503</v>
      </c>
    </row>
    <row r="73" spans="1:7">
      <c r="A73" s="6">
        <v>16</v>
      </c>
      <c r="B73" s="6">
        <v>7938657</v>
      </c>
      <c r="C73" s="6">
        <v>6061343</v>
      </c>
      <c r="D73" s="6">
        <v>0.76</v>
      </c>
      <c r="E73" s="6">
        <v>1.3501000000000001</v>
      </c>
      <c r="F73" s="6">
        <v>297287209</v>
      </c>
      <c r="G73" s="6">
        <v>64698358</v>
      </c>
    </row>
    <row r="74" spans="1:7">
      <c r="A74" s="6">
        <v>17</v>
      </c>
      <c r="B74" s="6">
        <v>6345629</v>
      </c>
      <c r="C74" s="6">
        <v>7654371</v>
      </c>
      <c r="D74" s="6">
        <v>1.21</v>
      </c>
      <c r="E74" s="6">
        <v>1.2514000000000001</v>
      </c>
      <c r="F74" s="6">
        <v>199419110</v>
      </c>
      <c r="G74" s="6">
        <v>39454008</v>
      </c>
    </row>
    <row r="75" spans="1:7">
      <c r="A75" s="6">
        <v>18</v>
      </c>
      <c r="B75" s="6">
        <v>7037069</v>
      </c>
      <c r="C75" s="6">
        <v>6962931</v>
      </c>
      <c r="D75" s="6">
        <v>0.99</v>
      </c>
      <c r="E75" s="6">
        <v>1.3567</v>
      </c>
      <c r="F75" s="6">
        <v>260450978</v>
      </c>
      <c r="G75" s="6">
        <v>46844398</v>
      </c>
    </row>
    <row r="76" spans="1:7">
      <c r="A76" s="6">
        <v>19</v>
      </c>
      <c r="B76" s="6">
        <v>6357755</v>
      </c>
      <c r="C76" s="6">
        <v>7642245</v>
      </c>
      <c r="D76" s="6">
        <v>1.2</v>
      </c>
      <c r="E76" s="6">
        <v>1.4155</v>
      </c>
      <c r="F76" s="6">
        <v>248166360</v>
      </c>
      <c r="G76" s="6">
        <v>40577183</v>
      </c>
    </row>
    <row r="77" spans="1:7">
      <c r="A77" s="6">
        <v>20</v>
      </c>
      <c r="B77" s="6">
        <v>5054771</v>
      </c>
      <c r="C77" s="6">
        <v>8945229</v>
      </c>
      <c r="D77" s="6">
        <v>1.77</v>
      </c>
      <c r="E77" s="6">
        <v>1.7661</v>
      </c>
      <c r="F77" s="6">
        <v>269913027</v>
      </c>
      <c r="G77" s="6">
        <v>40120852</v>
      </c>
    </row>
    <row r="78" spans="1:7">
      <c r="A78" s="6">
        <v>21</v>
      </c>
      <c r="B78" s="6">
        <v>7168780</v>
      </c>
      <c r="C78" s="6">
        <v>6831220</v>
      </c>
      <c r="D78" s="6">
        <v>0.95</v>
      </c>
      <c r="E78" s="6">
        <v>1.698</v>
      </c>
      <c r="F78" s="6">
        <v>379415677</v>
      </c>
      <c r="G78" s="6">
        <v>51270657</v>
      </c>
    </row>
    <row r="79" spans="1:7">
      <c r="A79" s="6">
        <v>22</v>
      </c>
      <c r="B79" s="6">
        <v>6141026</v>
      </c>
      <c r="C79" s="6">
        <v>7858974</v>
      </c>
      <c r="D79" s="6">
        <v>1.28</v>
      </c>
      <c r="E79" s="6">
        <v>0.92889999999999995</v>
      </c>
      <c r="F79" s="6">
        <v>99872222</v>
      </c>
      <c r="G79" s="6">
        <v>12268900</v>
      </c>
    </row>
    <row r="80" spans="1:7">
      <c r="A80" s="6">
        <v>23</v>
      </c>
      <c r="B80" s="6">
        <v>4899763</v>
      </c>
      <c r="C80" s="6">
        <v>9100237</v>
      </c>
      <c r="D80" s="6">
        <v>1.86</v>
      </c>
      <c r="E80" s="6">
        <v>1.0032000000000001</v>
      </c>
      <c r="F80" s="6">
        <v>87246047</v>
      </c>
      <c r="G80" s="6">
        <v>9743478</v>
      </c>
    </row>
    <row r="81" spans="1:7">
      <c r="A81" s="6">
        <v>24</v>
      </c>
      <c r="B81" s="6">
        <v>4392587</v>
      </c>
      <c r="C81" s="6">
        <v>9607413</v>
      </c>
      <c r="D81" s="6">
        <v>2.19</v>
      </c>
      <c r="E81" s="6">
        <v>1.0209999999999999</v>
      </c>
      <c r="F81" s="6">
        <v>77075827</v>
      </c>
      <c r="G81" s="6">
        <v>7825169</v>
      </c>
    </row>
    <row r="82" spans="1:7">
      <c r="A82" s="6">
        <v>25</v>
      </c>
      <c r="B82" s="6">
        <v>4598440</v>
      </c>
      <c r="C82" s="6">
        <v>9401560</v>
      </c>
      <c r="D82" s="6">
        <v>2.04</v>
      </c>
      <c r="E82" s="6">
        <v>1.0766</v>
      </c>
      <c r="F82" s="6">
        <v>94677802</v>
      </c>
      <c r="G82" s="6">
        <v>8738382</v>
      </c>
    </row>
    <row r="83" spans="1:7">
      <c r="A83" s="6">
        <v>26</v>
      </c>
      <c r="B83" s="6">
        <v>4292509</v>
      </c>
      <c r="C83" s="6">
        <v>9707491</v>
      </c>
      <c r="D83" s="6">
        <v>2.2599999999999998</v>
      </c>
      <c r="E83" s="6">
        <v>1.1119000000000001</v>
      </c>
      <c r="F83" s="6">
        <v>92327934</v>
      </c>
      <c r="G83" s="6">
        <v>7746817</v>
      </c>
    </row>
    <row r="84" spans="1:7">
      <c r="A84" s="6">
        <v>27</v>
      </c>
      <c r="B84" s="6">
        <v>3778494</v>
      </c>
      <c r="C84" s="6">
        <v>10221506</v>
      </c>
      <c r="D84" s="6">
        <v>2.71</v>
      </c>
      <c r="E84" s="6">
        <v>1.1420999999999999</v>
      </c>
      <c r="F84" s="6">
        <v>81060953</v>
      </c>
      <c r="G84" s="6">
        <v>6183142</v>
      </c>
    </row>
    <row r="85" spans="1:7">
      <c r="A85" s="6">
        <v>28</v>
      </c>
      <c r="B85" s="6">
        <v>3514765</v>
      </c>
      <c r="C85" s="6">
        <v>10485235</v>
      </c>
      <c r="D85" s="6">
        <v>2.98</v>
      </c>
      <c r="E85" s="6">
        <v>1.1862999999999999</v>
      </c>
      <c r="F85" s="6">
        <v>79389826</v>
      </c>
      <c r="G85" s="6">
        <v>5505156</v>
      </c>
    </row>
    <row r="86" spans="1:7">
      <c r="A86" s="6">
        <v>29</v>
      </c>
      <c r="B86" s="6">
        <v>3815881</v>
      </c>
      <c r="C86" s="6">
        <v>10184119</v>
      </c>
      <c r="D86" s="6">
        <v>2.67</v>
      </c>
      <c r="E86" s="6">
        <v>1.3159000000000001</v>
      </c>
      <c r="F86" s="6">
        <v>113008934</v>
      </c>
      <c r="G86" s="6">
        <v>7124016</v>
      </c>
    </row>
    <row r="87" spans="1:7">
      <c r="A87" s="6">
        <v>30</v>
      </c>
      <c r="B87" s="6">
        <v>3725326</v>
      </c>
      <c r="C87" s="6">
        <v>10274674</v>
      </c>
      <c r="D87" s="6">
        <v>2.76</v>
      </c>
      <c r="E87" s="6">
        <v>1.5004</v>
      </c>
      <c r="F87" s="6">
        <v>141050203</v>
      </c>
      <c r="G87" s="6">
        <v>8083383</v>
      </c>
    </row>
    <row r="88" spans="1:7">
      <c r="A88" s="6">
        <v>31</v>
      </c>
      <c r="B88" s="6">
        <v>2620349</v>
      </c>
      <c r="C88" s="6">
        <v>11379651</v>
      </c>
      <c r="D88" s="6">
        <v>4.34</v>
      </c>
      <c r="E88" s="6">
        <v>1.593</v>
      </c>
      <c r="F88" s="6">
        <v>96818482</v>
      </c>
      <c r="G88" s="6">
        <v>5044116</v>
      </c>
    </row>
    <row r="89" spans="1:7">
      <c r="A89" s="6">
        <v>32</v>
      </c>
      <c r="B89" s="6">
        <v>4111386</v>
      </c>
      <c r="C89" s="6">
        <v>9888614</v>
      </c>
      <c r="D89" s="6">
        <v>2.41</v>
      </c>
      <c r="E89" s="6">
        <v>1.5325</v>
      </c>
      <c r="F89" s="6">
        <v>166538026</v>
      </c>
      <c r="G89" s="6">
        <v>7887647</v>
      </c>
    </row>
    <row r="90" spans="1:7">
      <c r="A90" s="6">
        <v>33</v>
      </c>
      <c r="B90" s="6">
        <v>5409319</v>
      </c>
      <c r="C90" s="6">
        <v>8512356</v>
      </c>
      <c r="D90" s="6">
        <v>1.57</v>
      </c>
      <c r="E90" s="6">
        <v>2.2248999999999999</v>
      </c>
      <c r="F90" s="6">
        <v>407197669</v>
      </c>
      <c r="G90" s="6">
        <v>17541965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0"/>
  <sheetViews>
    <sheetView topLeftCell="B19" workbookViewId="0">
      <selection activeCell="E35" sqref="E35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9000000</v>
      </c>
      <c r="C2" s="6">
        <v>5719151</v>
      </c>
      <c r="D2">
        <f>C2/2.5</f>
        <v>2287660.4</v>
      </c>
      <c r="E2">
        <f>(D2/60)/10000</f>
        <v>3.8127673333333334</v>
      </c>
      <c r="F2">
        <f>(B2*2)/1000000</f>
        <v>18</v>
      </c>
      <c r="G2">
        <f>IFERROR(B2+C2,0)</f>
        <v>14719151</v>
      </c>
      <c r="H2">
        <f>SUM($G$2:G2)</f>
        <v>14719151</v>
      </c>
      <c r="I2">
        <f>((H2/2.5)/48)/10000</f>
        <v>12.265959166666667</v>
      </c>
      <c r="J2">
        <f>I2+F2+E2</f>
        <v>34.078726500000002</v>
      </c>
      <c r="K2">
        <f>A2*J2</f>
        <v>34.078726500000002</v>
      </c>
    </row>
    <row r="3" spans="1:11">
      <c r="A3">
        <v>2</v>
      </c>
      <c r="B3" s="6">
        <v>9000000</v>
      </c>
      <c r="C3" s="6">
        <v>5347899</v>
      </c>
      <c r="D3">
        <f t="shared" ref="D3:D34" si="0">C3/2.5</f>
        <v>2139159.6</v>
      </c>
      <c r="E3">
        <f t="shared" ref="E3:E34" si="1">(D3/60)/10000</f>
        <v>3.5652660000000003</v>
      </c>
      <c r="F3">
        <f t="shared" ref="F3:F34" si="2">(B3*2)/1000000</f>
        <v>18</v>
      </c>
      <c r="G3">
        <f>IFERROR(B3+C3,0)</f>
        <v>14347899</v>
      </c>
      <c r="H3">
        <f>SUM($G$2:G3)</f>
        <v>29067050</v>
      </c>
      <c r="I3">
        <f t="shared" ref="I3:I32" si="3">((H3/2.5)/48)/10000</f>
        <v>24.222541666666665</v>
      </c>
      <c r="J3">
        <f t="shared" ref="J3:J34" si="4">I3+F3+E3</f>
        <v>45.787807666666666</v>
      </c>
      <c r="K3">
        <f t="shared" ref="K3:K34" si="5">A3*J3</f>
        <v>91.575615333333332</v>
      </c>
    </row>
    <row r="4" spans="1:11">
      <c r="A4">
        <v>3</v>
      </c>
      <c r="B4" s="6">
        <v>9000000</v>
      </c>
      <c r="C4" s="6">
        <v>5597773</v>
      </c>
      <c r="D4">
        <f t="shared" si="0"/>
        <v>2239109.2000000002</v>
      </c>
      <c r="E4">
        <f t="shared" si="1"/>
        <v>3.731848666666667</v>
      </c>
      <c r="F4">
        <f t="shared" si="2"/>
        <v>18</v>
      </c>
      <c r="G4">
        <f>IFERROR(B4+C4,0)</f>
        <v>14597773</v>
      </c>
      <c r="H4">
        <f>SUM($G$2:G4)</f>
        <v>43664823</v>
      </c>
      <c r="I4">
        <f t="shared" si="3"/>
        <v>36.387352499999999</v>
      </c>
      <c r="J4">
        <f t="shared" si="4"/>
        <v>58.119201166666663</v>
      </c>
      <c r="K4">
        <f t="shared" si="5"/>
        <v>174.35760349999998</v>
      </c>
    </row>
    <row r="5" spans="1:11">
      <c r="A5">
        <v>4</v>
      </c>
      <c r="B5" s="6">
        <v>8893563</v>
      </c>
      <c r="C5" s="6">
        <v>6106437</v>
      </c>
      <c r="D5">
        <f t="shared" si="0"/>
        <v>2442574.7999999998</v>
      </c>
      <c r="E5">
        <f t="shared" si="1"/>
        <v>4.0709579999999992</v>
      </c>
      <c r="F5">
        <f t="shared" si="2"/>
        <v>17.787126000000001</v>
      </c>
      <c r="G5">
        <f>IFERROR(B5+C5,0)</f>
        <v>15000000</v>
      </c>
      <c r="H5">
        <f>SUM($G$2:G5)</f>
        <v>58664823</v>
      </c>
      <c r="I5">
        <f t="shared" si="3"/>
        <v>48.887352499999999</v>
      </c>
      <c r="J5">
        <f t="shared" si="4"/>
        <v>70.745436499999997</v>
      </c>
      <c r="K5">
        <f t="shared" si="5"/>
        <v>282.98174599999999</v>
      </c>
    </row>
    <row r="6" spans="1:11">
      <c r="A6">
        <v>5</v>
      </c>
      <c r="B6" s="6">
        <v>8593855</v>
      </c>
      <c r="C6" s="6">
        <v>6406145</v>
      </c>
      <c r="D6">
        <f t="shared" si="0"/>
        <v>2562458</v>
      </c>
      <c r="E6">
        <f t="shared" si="1"/>
        <v>4.270763333333333</v>
      </c>
      <c r="F6">
        <f t="shared" si="2"/>
        <v>17.187709999999999</v>
      </c>
      <c r="G6">
        <f>IFERROR(B6+C6,0)</f>
        <v>15000000</v>
      </c>
      <c r="H6">
        <f>SUM($G$2:G6)</f>
        <v>73664823</v>
      </c>
      <c r="I6">
        <f t="shared" si="3"/>
        <v>61.387352500000006</v>
      </c>
      <c r="J6">
        <f t="shared" si="4"/>
        <v>82.845825833333336</v>
      </c>
      <c r="K6">
        <f t="shared" si="5"/>
        <v>414.22912916666667</v>
      </c>
    </row>
    <row r="7" spans="1:11">
      <c r="A7">
        <v>6</v>
      </c>
      <c r="B7" s="6">
        <v>8016112</v>
      </c>
      <c r="C7" s="6">
        <v>6983888</v>
      </c>
      <c r="D7">
        <f t="shared" si="0"/>
        <v>2793555.2</v>
      </c>
      <c r="E7">
        <f t="shared" si="1"/>
        <v>4.6559253333333332</v>
      </c>
      <c r="F7">
        <f t="shared" si="2"/>
        <v>16.032223999999999</v>
      </c>
      <c r="G7">
        <f>IFERROR(B7+C7,0)</f>
        <v>15000000</v>
      </c>
      <c r="H7">
        <f>SUM($G$2:G7)</f>
        <v>88664823</v>
      </c>
      <c r="I7">
        <f t="shared" si="3"/>
        <v>73.887352500000006</v>
      </c>
      <c r="J7">
        <f t="shared" si="4"/>
        <v>94.575501833333334</v>
      </c>
      <c r="K7">
        <f t="shared" si="5"/>
        <v>567.45301100000006</v>
      </c>
    </row>
    <row r="8" spans="1:11">
      <c r="A8">
        <v>7</v>
      </c>
      <c r="B8" s="6">
        <v>8626053</v>
      </c>
      <c r="C8" s="6">
        <v>6373947</v>
      </c>
      <c r="D8">
        <f t="shared" si="0"/>
        <v>2549578.7999999998</v>
      </c>
      <c r="E8">
        <f t="shared" si="1"/>
        <v>4.2492979999999996</v>
      </c>
      <c r="F8">
        <f t="shared" si="2"/>
        <v>17.252106000000001</v>
      </c>
      <c r="G8">
        <f>IFERROR(B8+C8,0)</f>
        <v>15000000</v>
      </c>
      <c r="H8">
        <f>SUM($G$2:G8)</f>
        <v>103664823</v>
      </c>
      <c r="I8">
        <f t="shared" si="3"/>
        <v>86.387352500000006</v>
      </c>
      <c r="J8">
        <f t="shared" si="4"/>
        <v>107.8887565</v>
      </c>
      <c r="K8">
        <f t="shared" si="5"/>
        <v>755.2212955</v>
      </c>
    </row>
    <row r="9" spans="1:11">
      <c r="A9">
        <v>8</v>
      </c>
      <c r="B9" s="6">
        <v>9000000</v>
      </c>
      <c r="C9" s="6">
        <v>5083947</v>
      </c>
      <c r="D9">
        <f t="shared" si="0"/>
        <v>2033578.8</v>
      </c>
      <c r="E9">
        <f t="shared" si="1"/>
        <v>3.3892980000000001</v>
      </c>
      <c r="F9">
        <f t="shared" si="2"/>
        <v>18</v>
      </c>
      <c r="G9">
        <f>IFERROR(B9+C9,0)</f>
        <v>14083947</v>
      </c>
      <c r="H9">
        <f>SUM($G$2:G9)</f>
        <v>117748770</v>
      </c>
      <c r="I9">
        <f t="shared" si="3"/>
        <v>98.123975000000002</v>
      </c>
      <c r="J9">
        <f t="shared" si="4"/>
        <v>119.513273</v>
      </c>
      <c r="K9">
        <f t="shared" si="5"/>
        <v>956.10618399999998</v>
      </c>
    </row>
    <row r="10" spans="1:11">
      <c r="A10">
        <v>9</v>
      </c>
      <c r="B10" s="6">
        <v>9000000</v>
      </c>
      <c r="C10" s="6">
        <v>4683439</v>
      </c>
      <c r="D10">
        <f t="shared" si="0"/>
        <v>1873375.6</v>
      </c>
      <c r="E10">
        <f t="shared" si="1"/>
        <v>3.122292666666667</v>
      </c>
      <c r="F10">
        <f t="shared" si="2"/>
        <v>18</v>
      </c>
      <c r="G10">
        <f>IFERROR(B10+C10,0)</f>
        <v>13683439</v>
      </c>
      <c r="H10">
        <f>SUM($G$2:G10)</f>
        <v>131432209</v>
      </c>
      <c r="I10">
        <f t="shared" si="3"/>
        <v>109.52684083333334</v>
      </c>
      <c r="J10">
        <f t="shared" si="4"/>
        <v>130.6491335</v>
      </c>
      <c r="K10">
        <f t="shared" si="5"/>
        <v>1175.8422015000001</v>
      </c>
    </row>
    <row r="11" spans="1:11">
      <c r="A11">
        <v>10</v>
      </c>
      <c r="B11" s="6">
        <v>9000000</v>
      </c>
      <c r="C11" s="6">
        <v>4649437</v>
      </c>
      <c r="D11">
        <f t="shared" si="0"/>
        <v>1859774.8</v>
      </c>
      <c r="E11">
        <f t="shared" si="1"/>
        <v>3.0996246666666667</v>
      </c>
      <c r="F11">
        <f t="shared" si="2"/>
        <v>18</v>
      </c>
      <c r="G11">
        <f>IFERROR(B11+C11,0)</f>
        <v>13649437</v>
      </c>
      <c r="H11">
        <f>SUM($G$2:G11)</f>
        <v>145081646</v>
      </c>
      <c r="I11">
        <f t="shared" si="3"/>
        <v>120.90137166666666</v>
      </c>
      <c r="J11">
        <f t="shared" si="4"/>
        <v>142.00099633333332</v>
      </c>
      <c r="K11">
        <f t="shared" si="5"/>
        <v>1420.0099633333332</v>
      </c>
    </row>
    <row r="12" spans="1:11">
      <c r="A12">
        <v>11</v>
      </c>
      <c r="B12" s="6">
        <v>9000000</v>
      </c>
      <c r="C12" s="6">
        <v>5945119</v>
      </c>
      <c r="D12">
        <f t="shared" si="0"/>
        <v>2378047.6</v>
      </c>
      <c r="E12">
        <f t="shared" si="1"/>
        <v>3.9634126666666671</v>
      </c>
      <c r="F12">
        <f t="shared" si="2"/>
        <v>18</v>
      </c>
      <c r="G12">
        <f>IFERROR(B12+C12,0)</f>
        <v>14945119</v>
      </c>
      <c r="H12">
        <f>SUM($G$2:G12)</f>
        <v>160026765</v>
      </c>
      <c r="I12">
        <f t="shared" si="3"/>
        <v>133.3556375</v>
      </c>
      <c r="J12">
        <f t="shared" si="4"/>
        <v>155.31905016666667</v>
      </c>
      <c r="K12">
        <f t="shared" si="5"/>
        <v>1708.5095518333333</v>
      </c>
    </row>
    <row r="13" spans="1:11">
      <c r="A13">
        <v>12</v>
      </c>
      <c r="B13" s="6">
        <v>9000000</v>
      </c>
      <c r="C13" s="6">
        <v>4461373</v>
      </c>
      <c r="D13">
        <f t="shared" si="0"/>
        <v>1784549.2</v>
      </c>
      <c r="E13">
        <f t="shared" si="1"/>
        <v>2.9742486666666665</v>
      </c>
      <c r="F13">
        <f t="shared" si="2"/>
        <v>18</v>
      </c>
      <c r="G13">
        <f>IFERROR(B13+C13,0)</f>
        <v>13461373</v>
      </c>
      <c r="H13">
        <f>SUM($G$2:G13)</f>
        <v>173488138</v>
      </c>
      <c r="I13">
        <f t="shared" si="3"/>
        <v>144.57344833333335</v>
      </c>
      <c r="J13">
        <f t="shared" si="4"/>
        <v>165.547697</v>
      </c>
      <c r="K13">
        <f t="shared" si="5"/>
        <v>1986.5723640000001</v>
      </c>
    </row>
    <row r="14" spans="1:11">
      <c r="A14">
        <v>13</v>
      </c>
      <c r="B14" s="6">
        <v>9000000</v>
      </c>
      <c r="C14" s="6">
        <v>4322941</v>
      </c>
      <c r="D14">
        <f t="shared" si="0"/>
        <v>1729176.4</v>
      </c>
      <c r="E14">
        <f t="shared" si="1"/>
        <v>2.8819606666666666</v>
      </c>
      <c r="F14">
        <f t="shared" si="2"/>
        <v>18</v>
      </c>
      <c r="G14">
        <f>IFERROR(B14+C14,0)</f>
        <v>13322941</v>
      </c>
      <c r="H14">
        <f>SUM($G$2:G14)</f>
        <v>186811079</v>
      </c>
      <c r="I14">
        <f t="shared" si="3"/>
        <v>155.67589916666665</v>
      </c>
      <c r="J14">
        <f t="shared" si="4"/>
        <v>176.55785983333331</v>
      </c>
      <c r="K14">
        <f t="shared" si="5"/>
        <v>2295.252177833333</v>
      </c>
    </row>
    <row r="15" spans="1:11">
      <c r="A15">
        <v>14</v>
      </c>
      <c r="B15" s="6">
        <v>9000000</v>
      </c>
      <c r="C15" s="6">
        <v>5998738</v>
      </c>
      <c r="D15">
        <f t="shared" si="0"/>
        <v>2399495.2000000002</v>
      </c>
      <c r="E15">
        <f t="shared" si="1"/>
        <v>3.9991586666666672</v>
      </c>
      <c r="F15">
        <f t="shared" si="2"/>
        <v>18</v>
      </c>
      <c r="G15">
        <f>IFERROR(B15+C15,0)</f>
        <v>14998738</v>
      </c>
      <c r="H15">
        <f>SUM($G$2:G15)</f>
        <v>201809817</v>
      </c>
      <c r="I15">
        <f t="shared" si="3"/>
        <v>168.1748475</v>
      </c>
      <c r="J15">
        <f t="shared" si="4"/>
        <v>190.17400616666666</v>
      </c>
      <c r="K15">
        <f t="shared" si="5"/>
        <v>2662.4360863333332</v>
      </c>
    </row>
    <row r="16" spans="1:11">
      <c r="A16">
        <v>15</v>
      </c>
      <c r="B16" s="6">
        <v>8515770</v>
      </c>
      <c r="C16" s="6">
        <v>6484230</v>
      </c>
      <c r="D16">
        <f t="shared" si="0"/>
        <v>2593692</v>
      </c>
      <c r="E16">
        <f t="shared" si="1"/>
        <v>4.3228200000000001</v>
      </c>
      <c r="F16">
        <f t="shared" si="2"/>
        <v>17.03154</v>
      </c>
      <c r="G16">
        <f>IFERROR(B16+C16,0)</f>
        <v>15000000</v>
      </c>
      <c r="H16">
        <f>SUM($G$2:G16)</f>
        <v>216809817</v>
      </c>
      <c r="I16">
        <f t="shared" si="3"/>
        <v>180.6748475</v>
      </c>
      <c r="J16">
        <f t="shared" si="4"/>
        <v>202.02920750000001</v>
      </c>
      <c r="K16">
        <f t="shared" si="5"/>
        <v>3030.4381125</v>
      </c>
    </row>
    <row r="17" spans="1:11">
      <c r="A17">
        <v>16</v>
      </c>
      <c r="B17" s="6">
        <v>6826727</v>
      </c>
      <c r="C17" s="6">
        <v>8173273</v>
      </c>
      <c r="D17">
        <f t="shared" si="0"/>
        <v>3269309.2</v>
      </c>
      <c r="E17">
        <f t="shared" si="1"/>
        <v>5.4488486666666676</v>
      </c>
      <c r="F17">
        <f t="shared" si="2"/>
        <v>13.653454</v>
      </c>
      <c r="G17">
        <f>IFERROR(B17+C17,0)</f>
        <v>15000000</v>
      </c>
      <c r="H17">
        <f>SUM($G$2:G17)</f>
        <v>231809817</v>
      </c>
      <c r="I17">
        <f t="shared" si="3"/>
        <v>193.1748475</v>
      </c>
      <c r="J17">
        <f t="shared" si="4"/>
        <v>212.27715016666667</v>
      </c>
      <c r="K17">
        <f t="shared" si="5"/>
        <v>3396.4344026666668</v>
      </c>
    </row>
    <row r="18" spans="1:11">
      <c r="A18">
        <v>17</v>
      </c>
      <c r="B18" s="6">
        <v>7550930</v>
      </c>
      <c r="C18" s="6">
        <v>7449070</v>
      </c>
      <c r="D18">
        <f t="shared" si="0"/>
        <v>2979628</v>
      </c>
      <c r="E18">
        <f t="shared" si="1"/>
        <v>4.9660466666666663</v>
      </c>
      <c r="F18">
        <f t="shared" si="2"/>
        <v>15.10186</v>
      </c>
      <c r="G18">
        <f>IFERROR(B18+C18,0)</f>
        <v>15000000</v>
      </c>
      <c r="H18">
        <f>SUM($G$2:G18)</f>
        <v>246809817</v>
      </c>
      <c r="I18">
        <f t="shared" si="3"/>
        <v>205.6748475</v>
      </c>
      <c r="J18">
        <f t="shared" si="4"/>
        <v>225.74275416666666</v>
      </c>
      <c r="K18">
        <f t="shared" si="5"/>
        <v>3837.6268208333331</v>
      </c>
    </row>
    <row r="19" spans="1:11">
      <c r="A19">
        <v>18</v>
      </c>
      <c r="B19" s="6">
        <v>6688891</v>
      </c>
      <c r="C19" s="6">
        <v>8311109</v>
      </c>
      <c r="D19">
        <f t="shared" si="0"/>
        <v>3324443.6</v>
      </c>
      <c r="E19">
        <f t="shared" si="1"/>
        <v>5.5407393333333337</v>
      </c>
      <c r="F19">
        <f t="shared" si="2"/>
        <v>13.377782</v>
      </c>
      <c r="G19">
        <f>IFERROR(B19+C19,0)</f>
        <v>15000000</v>
      </c>
      <c r="H19">
        <f>SUM($G$2:G19)</f>
        <v>261809817</v>
      </c>
      <c r="I19">
        <f t="shared" si="3"/>
        <v>218.1748475</v>
      </c>
      <c r="J19">
        <f t="shared" si="4"/>
        <v>237.09336883333333</v>
      </c>
      <c r="K19">
        <f t="shared" si="5"/>
        <v>4267.6806390000002</v>
      </c>
    </row>
    <row r="20" spans="1:11">
      <c r="A20">
        <v>19</v>
      </c>
      <c r="B20" s="6">
        <v>6129706</v>
      </c>
      <c r="C20" s="6">
        <v>8870294</v>
      </c>
      <c r="D20">
        <f t="shared" si="0"/>
        <v>3548117.6</v>
      </c>
      <c r="E20">
        <f t="shared" si="1"/>
        <v>5.9135293333333339</v>
      </c>
      <c r="F20">
        <f t="shared" si="2"/>
        <v>12.259411999999999</v>
      </c>
      <c r="G20">
        <f>IFERROR(B20+C20,0)</f>
        <v>15000000</v>
      </c>
      <c r="H20">
        <f>SUM($G$2:G20)</f>
        <v>276809817</v>
      </c>
      <c r="I20">
        <f t="shared" si="3"/>
        <v>230.6748475</v>
      </c>
      <c r="J20">
        <f t="shared" si="4"/>
        <v>248.84778883333334</v>
      </c>
      <c r="K20">
        <f t="shared" si="5"/>
        <v>4728.107987833333</v>
      </c>
    </row>
    <row r="21" spans="1:11">
      <c r="A21">
        <v>20</v>
      </c>
      <c r="B21" s="6">
        <v>7284530</v>
      </c>
      <c r="C21" s="6">
        <v>7715470</v>
      </c>
      <c r="D21">
        <f t="shared" si="0"/>
        <v>3086188</v>
      </c>
      <c r="E21">
        <f t="shared" si="1"/>
        <v>5.1436466666666671</v>
      </c>
      <c r="F21">
        <f t="shared" si="2"/>
        <v>14.56906</v>
      </c>
      <c r="G21">
        <f>IFERROR(B21+C21,0)</f>
        <v>15000000</v>
      </c>
      <c r="H21">
        <f>SUM($G$2:G21)</f>
        <v>291809817</v>
      </c>
      <c r="I21">
        <f t="shared" si="3"/>
        <v>243.1748475</v>
      </c>
      <c r="J21">
        <f t="shared" si="4"/>
        <v>262.88755416666663</v>
      </c>
      <c r="K21">
        <f t="shared" si="5"/>
        <v>5257.7510833333326</v>
      </c>
    </row>
    <row r="22" spans="1:11">
      <c r="A22">
        <v>21</v>
      </c>
      <c r="B22" s="6">
        <v>6112964</v>
      </c>
      <c r="C22" s="6">
        <v>8887036</v>
      </c>
      <c r="D22">
        <f t="shared" si="0"/>
        <v>3554814.4</v>
      </c>
      <c r="E22">
        <f t="shared" si="1"/>
        <v>5.9246906666666659</v>
      </c>
      <c r="F22">
        <f t="shared" si="2"/>
        <v>12.225928</v>
      </c>
      <c r="G22">
        <f>IFERROR(B22+C22,0)</f>
        <v>15000000</v>
      </c>
      <c r="H22">
        <f>SUM($G$2:G22)</f>
        <v>306809817</v>
      </c>
      <c r="I22">
        <f t="shared" si="3"/>
        <v>255.6748475</v>
      </c>
      <c r="J22">
        <f t="shared" si="4"/>
        <v>273.82546616666667</v>
      </c>
      <c r="K22">
        <f t="shared" si="5"/>
        <v>5750.3347894999997</v>
      </c>
    </row>
    <row r="23" spans="1:11">
      <c r="A23">
        <v>22</v>
      </c>
      <c r="B23" s="6">
        <v>4825557</v>
      </c>
      <c r="C23" s="6">
        <v>10174443</v>
      </c>
      <c r="D23">
        <f t="shared" si="0"/>
        <v>4069777.2</v>
      </c>
      <c r="E23">
        <f t="shared" si="1"/>
        <v>6.7829620000000013</v>
      </c>
      <c r="F23">
        <f t="shared" si="2"/>
        <v>9.6511139999999997</v>
      </c>
      <c r="G23">
        <f>IFERROR(B23+C23,0)</f>
        <v>15000000</v>
      </c>
      <c r="H23">
        <f>SUM($G$2:G23)</f>
        <v>321809817</v>
      </c>
      <c r="I23">
        <f t="shared" si="3"/>
        <v>268.1748475</v>
      </c>
      <c r="J23">
        <f t="shared" si="4"/>
        <v>284.6089235</v>
      </c>
      <c r="K23">
        <f t="shared" si="5"/>
        <v>6261.3963169999997</v>
      </c>
    </row>
    <row r="24" spans="1:11">
      <c r="A24">
        <v>23</v>
      </c>
      <c r="B24" s="6">
        <v>4507745</v>
      </c>
      <c r="C24" s="6">
        <v>10492255</v>
      </c>
      <c r="D24">
        <f t="shared" si="0"/>
        <v>4196902</v>
      </c>
      <c r="E24">
        <f t="shared" si="1"/>
        <v>6.994836666666667</v>
      </c>
      <c r="F24">
        <f t="shared" si="2"/>
        <v>9.0154899999999998</v>
      </c>
      <c r="G24">
        <f>IFERROR(B24+C24,0)</f>
        <v>15000000</v>
      </c>
      <c r="H24">
        <f>SUM($G$2:G24)</f>
        <v>336809817</v>
      </c>
      <c r="I24">
        <f t="shared" si="3"/>
        <v>280.6748475</v>
      </c>
      <c r="J24">
        <f t="shared" si="4"/>
        <v>296.68517416666668</v>
      </c>
      <c r="K24">
        <f t="shared" si="5"/>
        <v>6823.7590058333335</v>
      </c>
    </row>
    <row r="25" spans="1:11">
      <c r="A25">
        <v>24</v>
      </c>
      <c r="B25" s="6">
        <v>4724178</v>
      </c>
      <c r="C25" s="6">
        <v>10275822</v>
      </c>
      <c r="D25">
        <f t="shared" si="0"/>
        <v>4110328.8</v>
      </c>
      <c r="E25">
        <f t="shared" si="1"/>
        <v>6.8505479999999999</v>
      </c>
      <c r="F25">
        <f t="shared" si="2"/>
        <v>9.4483560000000004</v>
      </c>
      <c r="G25">
        <f>IFERROR(B25+C25,0)</f>
        <v>15000000</v>
      </c>
      <c r="H25">
        <f>SUM($G$2:G25)</f>
        <v>351809817</v>
      </c>
      <c r="I25">
        <f t="shared" si="3"/>
        <v>293.1748475</v>
      </c>
      <c r="J25">
        <f t="shared" si="4"/>
        <v>309.47375149999999</v>
      </c>
      <c r="K25">
        <f t="shared" si="5"/>
        <v>7427.3700360000003</v>
      </c>
    </row>
    <row r="26" spans="1:11">
      <c r="A26">
        <v>25</v>
      </c>
      <c r="B26" s="6">
        <v>4231509</v>
      </c>
      <c r="C26" s="6">
        <v>10768491</v>
      </c>
      <c r="D26">
        <f t="shared" si="0"/>
        <v>4307396.4000000004</v>
      </c>
      <c r="E26">
        <f t="shared" si="1"/>
        <v>7.1789940000000003</v>
      </c>
      <c r="F26">
        <f t="shared" si="2"/>
        <v>8.4630179999999999</v>
      </c>
      <c r="G26">
        <f>IFERROR(B26+C26,0)</f>
        <v>15000000</v>
      </c>
      <c r="H26">
        <f>SUM($G$2:G26)</f>
        <v>366809817</v>
      </c>
      <c r="I26">
        <f t="shared" si="3"/>
        <v>305.6748475</v>
      </c>
      <c r="J26">
        <f t="shared" si="4"/>
        <v>321.31685949999996</v>
      </c>
      <c r="K26">
        <f t="shared" si="5"/>
        <v>8032.9214874999989</v>
      </c>
    </row>
    <row r="27" spans="1:11">
      <c r="A27">
        <v>26</v>
      </c>
      <c r="B27" s="6">
        <v>3637357</v>
      </c>
      <c r="C27" s="6">
        <v>11362643</v>
      </c>
      <c r="D27">
        <f t="shared" si="0"/>
        <v>4545057.2</v>
      </c>
      <c r="E27">
        <f t="shared" si="1"/>
        <v>7.5750953333333335</v>
      </c>
      <c r="F27">
        <f t="shared" si="2"/>
        <v>7.2747140000000003</v>
      </c>
      <c r="G27">
        <f>IFERROR(B27+C27,0)</f>
        <v>15000000</v>
      </c>
      <c r="H27">
        <f>SUM($G$2:G27)</f>
        <v>381809817</v>
      </c>
      <c r="I27">
        <f t="shared" si="3"/>
        <v>318.1748475</v>
      </c>
      <c r="J27">
        <f t="shared" si="4"/>
        <v>333.02465683333332</v>
      </c>
      <c r="K27">
        <f t="shared" si="5"/>
        <v>8658.6410776666671</v>
      </c>
    </row>
    <row r="28" spans="1:11">
      <c r="A28">
        <v>27</v>
      </c>
      <c r="B28" s="6">
        <v>3592499</v>
      </c>
      <c r="C28" s="6">
        <v>11407501</v>
      </c>
      <c r="D28">
        <f t="shared" si="0"/>
        <v>4563000.4000000004</v>
      </c>
      <c r="E28">
        <f t="shared" si="1"/>
        <v>7.6050006666666672</v>
      </c>
      <c r="F28">
        <f t="shared" si="2"/>
        <v>7.1849980000000002</v>
      </c>
      <c r="G28">
        <f>IFERROR(B28+C28,0)</f>
        <v>15000000</v>
      </c>
      <c r="H28">
        <f>SUM($G$2:G28)</f>
        <v>396809817</v>
      </c>
      <c r="I28">
        <f t="shared" si="3"/>
        <v>330.6748475</v>
      </c>
      <c r="J28">
        <f t="shared" si="4"/>
        <v>345.46484616666669</v>
      </c>
      <c r="K28">
        <f t="shared" si="5"/>
        <v>9327.5508465000003</v>
      </c>
    </row>
    <row r="29" spans="1:11">
      <c r="A29">
        <v>28</v>
      </c>
      <c r="B29" s="6">
        <v>3882306</v>
      </c>
      <c r="C29" s="6">
        <v>11117694</v>
      </c>
      <c r="D29">
        <f t="shared" si="0"/>
        <v>4447077.5999999996</v>
      </c>
      <c r="E29">
        <f t="shared" si="1"/>
        <v>7.4117959999999989</v>
      </c>
      <c r="F29">
        <f t="shared" si="2"/>
        <v>7.7646119999999996</v>
      </c>
      <c r="G29">
        <f>IFERROR(B29+C29,0)</f>
        <v>15000000</v>
      </c>
      <c r="H29">
        <f>SUM($G$2:G29)</f>
        <v>411809817</v>
      </c>
      <c r="I29">
        <f t="shared" si="3"/>
        <v>343.1748475</v>
      </c>
      <c r="J29">
        <f t="shared" si="4"/>
        <v>358.35125549999998</v>
      </c>
      <c r="K29">
        <f t="shared" si="5"/>
        <v>10033.835154</v>
      </c>
    </row>
    <row r="30" spans="1:11">
      <c r="A30">
        <v>29</v>
      </c>
      <c r="B30" s="6">
        <v>3940521</v>
      </c>
      <c r="C30" s="6">
        <v>11059479</v>
      </c>
      <c r="D30">
        <f t="shared" si="0"/>
        <v>4423791.5999999996</v>
      </c>
      <c r="E30">
        <f t="shared" si="1"/>
        <v>7.372986</v>
      </c>
      <c r="F30">
        <f t="shared" si="2"/>
        <v>7.8810419999999999</v>
      </c>
      <c r="G30">
        <f>IFERROR(B30+C30,0)</f>
        <v>15000000</v>
      </c>
      <c r="H30">
        <f>SUM($G$2:G30)</f>
        <v>426809817</v>
      </c>
      <c r="I30">
        <f t="shared" si="3"/>
        <v>355.6748475</v>
      </c>
      <c r="J30">
        <f t="shared" si="4"/>
        <v>370.9288755</v>
      </c>
      <c r="K30">
        <f t="shared" si="5"/>
        <v>10756.937389500001</v>
      </c>
    </row>
    <row r="31" spans="1:11">
      <c r="A31">
        <v>30</v>
      </c>
      <c r="B31" s="6">
        <v>2798789</v>
      </c>
      <c r="C31" s="6">
        <v>12201211</v>
      </c>
      <c r="D31">
        <f t="shared" si="0"/>
        <v>4880484.4000000004</v>
      </c>
      <c r="E31">
        <f t="shared" si="1"/>
        <v>8.1341406666666671</v>
      </c>
      <c r="F31">
        <f t="shared" si="2"/>
        <v>5.5975780000000004</v>
      </c>
      <c r="G31">
        <f>IFERROR(B31+C31,0)</f>
        <v>15000000</v>
      </c>
      <c r="H31">
        <f>SUM($G$2:G31)</f>
        <v>441809817</v>
      </c>
      <c r="I31">
        <f t="shared" si="3"/>
        <v>368.1748475</v>
      </c>
      <c r="J31">
        <f t="shared" si="4"/>
        <v>381.90656616666666</v>
      </c>
      <c r="K31">
        <f t="shared" si="5"/>
        <v>11457.196985</v>
      </c>
    </row>
    <row r="32" spans="1:11">
      <c r="A32">
        <v>31</v>
      </c>
      <c r="B32" s="6">
        <v>4556415</v>
      </c>
      <c r="C32" s="6">
        <v>10443585</v>
      </c>
      <c r="D32">
        <f t="shared" si="0"/>
        <v>4177434</v>
      </c>
      <c r="E32">
        <f t="shared" si="1"/>
        <v>6.9623899999999992</v>
      </c>
      <c r="F32">
        <f t="shared" si="2"/>
        <v>9.1128300000000007</v>
      </c>
      <c r="G32">
        <f t="shared" ref="G32:G34" si="6">IFERROR(B32+C32,0)</f>
        <v>15000000</v>
      </c>
      <c r="H32">
        <f>SUM($G$2:G32)</f>
        <v>456809817</v>
      </c>
      <c r="I32">
        <f t="shared" si="3"/>
        <v>380.6748475</v>
      </c>
      <c r="J32">
        <f t="shared" si="4"/>
        <v>396.7500675</v>
      </c>
      <c r="K32">
        <f t="shared" si="5"/>
        <v>12299.252092500001</v>
      </c>
    </row>
    <row r="33" spans="1:11">
      <c r="A33">
        <v>32</v>
      </c>
      <c r="B33" s="6">
        <v>5409941</v>
      </c>
      <c r="C33" s="6">
        <v>8454163</v>
      </c>
      <c r="D33">
        <f t="shared" si="0"/>
        <v>3381665.2</v>
      </c>
      <c r="E33">
        <f t="shared" si="1"/>
        <v>5.6361086666666669</v>
      </c>
      <c r="F33">
        <f t="shared" si="2"/>
        <v>10.819882</v>
      </c>
      <c r="G33">
        <f t="shared" si="6"/>
        <v>13864104</v>
      </c>
      <c r="H33">
        <f>SUM($G$2:G33)</f>
        <v>470673921</v>
      </c>
      <c r="I33">
        <f>((H33/2.5)/48)/10000</f>
        <v>392.22826750000002</v>
      </c>
      <c r="J33">
        <f t="shared" si="4"/>
        <v>408.68425816666667</v>
      </c>
      <c r="K33">
        <f t="shared" si="5"/>
        <v>13077.896261333333</v>
      </c>
    </row>
    <row r="34" spans="1:11">
      <c r="B34" s="6"/>
      <c r="C34" s="6"/>
    </row>
    <row r="35" spans="1:11">
      <c r="C35" s="5">
        <f>SUM(C2:C33)</f>
        <v>251328003</v>
      </c>
    </row>
    <row r="37" spans="1:11">
      <c r="H37" s="14" t="s">
        <v>37</v>
      </c>
      <c r="I37" t="s">
        <v>2</v>
      </c>
      <c r="J37" s="15">
        <f>MAX(K2:K33)</f>
        <v>13077.896261333333</v>
      </c>
    </row>
    <row r="38" spans="1:11">
      <c r="I38" t="s">
        <v>3</v>
      </c>
      <c r="J38" s="15">
        <f>MAX(J2:J33)</f>
        <v>408.68425816666667</v>
      </c>
    </row>
    <row r="42" spans="1:11">
      <c r="A42" s="6"/>
      <c r="B42" s="7"/>
      <c r="C42" s="7"/>
      <c r="D42" s="6"/>
      <c r="E42" s="6"/>
      <c r="F42" s="7"/>
    </row>
    <row r="43" spans="1:11" ht="15.75" thickBot="1">
      <c r="A43" s="6"/>
      <c r="B43" s="7"/>
      <c r="C43" s="7"/>
      <c r="D43" s="6"/>
      <c r="E43" s="6"/>
      <c r="F43" s="7"/>
    </row>
    <row r="44" spans="1:11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1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1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1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1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>
        <v>1</v>
      </c>
      <c r="B59" s="6">
        <v>9000000</v>
      </c>
      <c r="C59" s="6">
        <v>5719151</v>
      </c>
      <c r="D59" s="6">
        <v>0.64</v>
      </c>
      <c r="E59" s="6">
        <v>2.3639000000000001</v>
      </c>
      <c r="F59" s="6">
        <v>763066546</v>
      </c>
      <c r="G59" s="6">
        <v>693696860</v>
      </c>
    </row>
    <row r="60" spans="1:9">
      <c r="A60" s="6">
        <v>2</v>
      </c>
      <c r="B60" s="6">
        <v>9000000</v>
      </c>
      <c r="C60" s="6">
        <v>5347899</v>
      </c>
      <c r="D60" s="6">
        <v>0.59</v>
      </c>
      <c r="E60" s="6">
        <v>1.7216</v>
      </c>
      <c r="F60" s="6">
        <v>496781606</v>
      </c>
      <c r="G60" s="6">
        <v>410563311</v>
      </c>
    </row>
    <row r="61" spans="1:9">
      <c r="A61" s="6">
        <v>3</v>
      </c>
      <c r="B61" s="6">
        <v>9000000</v>
      </c>
      <c r="C61" s="6">
        <v>5597773</v>
      </c>
      <c r="D61" s="6">
        <v>0.62</v>
      </c>
      <c r="E61" s="6">
        <v>1.9142999999999999</v>
      </c>
      <c r="F61" s="6">
        <v>576211234</v>
      </c>
      <c r="G61" s="6">
        <v>432916029</v>
      </c>
    </row>
    <row r="62" spans="1:9">
      <c r="A62" s="6">
        <v>4</v>
      </c>
      <c r="B62" s="6">
        <v>8893563</v>
      </c>
      <c r="C62" s="6">
        <v>6106437</v>
      </c>
      <c r="D62" s="6">
        <v>0.69</v>
      </c>
      <c r="E62" s="6">
        <v>2.3382000000000001</v>
      </c>
      <c r="F62" s="6">
        <v>741997899</v>
      </c>
      <c r="G62" s="6">
        <v>506794549</v>
      </c>
    </row>
    <row r="63" spans="1:9">
      <c r="A63" s="6">
        <v>5</v>
      </c>
      <c r="B63" s="6">
        <v>8593855</v>
      </c>
      <c r="C63" s="6">
        <v>6406145</v>
      </c>
      <c r="D63" s="6">
        <v>0.75</v>
      </c>
      <c r="E63" s="6">
        <v>2.4738000000000002</v>
      </c>
      <c r="F63" s="6">
        <v>769255785</v>
      </c>
      <c r="G63" s="6">
        <v>477647320</v>
      </c>
    </row>
    <row r="64" spans="1:9">
      <c r="A64" s="6">
        <v>6</v>
      </c>
      <c r="B64" s="6">
        <v>8016112</v>
      </c>
      <c r="C64" s="6">
        <v>6983888</v>
      </c>
      <c r="D64" s="6">
        <v>0.87</v>
      </c>
      <c r="E64" s="6">
        <v>2.4348000000000001</v>
      </c>
      <c r="F64" s="6">
        <v>699774062</v>
      </c>
      <c r="G64" s="6">
        <v>395004215</v>
      </c>
    </row>
    <row r="65" spans="1:7">
      <c r="A65" s="6">
        <v>7</v>
      </c>
      <c r="B65" s="6">
        <v>8626053</v>
      </c>
      <c r="C65" s="6">
        <v>6373947</v>
      </c>
      <c r="D65" s="6">
        <v>0.74</v>
      </c>
      <c r="E65" s="6">
        <v>2.4702000000000002</v>
      </c>
      <c r="F65" s="6">
        <v>770893673</v>
      </c>
      <c r="G65" s="6">
        <v>395590346</v>
      </c>
    </row>
    <row r="66" spans="1:7">
      <c r="A66" s="6">
        <v>8</v>
      </c>
      <c r="B66" s="6">
        <v>9000000</v>
      </c>
      <c r="C66" s="6">
        <v>5083947</v>
      </c>
      <c r="D66" s="6">
        <v>0.56000000000000005</v>
      </c>
      <c r="E66" s="6">
        <v>2.3919000000000001</v>
      </c>
      <c r="F66" s="6">
        <v>776829870</v>
      </c>
      <c r="G66" s="6">
        <v>362396867</v>
      </c>
    </row>
    <row r="67" spans="1:7">
      <c r="A67" s="6">
        <v>9</v>
      </c>
      <c r="B67" s="6">
        <v>9000000</v>
      </c>
      <c r="C67" s="6">
        <v>4683439</v>
      </c>
      <c r="D67" s="6">
        <v>0.52</v>
      </c>
      <c r="E67" s="6">
        <v>2.3439000000000001</v>
      </c>
      <c r="F67" s="6">
        <v>758146505</v>
      </c>
      <c r="G67" s="6">
        <v>321528127</v>
      </c>
    </row>
    <row r="68" spans="1:7">
      <c r="A68" s="6">
        <v>10</v>
      </c>
      <c r="B68" s="6">
        <v>9000000</v>
      </c>
      <c r="C68" s="6">
        <v>4649437</v>
      </c>
      <c r="D68" s="6">
        <v>0.52</v>
      </c>
      <c r="E68" s="6">
        <v>2.3485999999999998</v>
      </c>
      <c r="F68" s="6">
        <v>760209005</v>
      </c>
      <c r="G68" s="6">
        <v>293093480</v>
      </c>
    </row>
    <row r="69" spans="1:7">
      <c r="A69" s="6">
        <v>11</v>
      </c>
      <c r="B69" s="6">
        <v>9000000</v>
      </c>
      <c r="C69" s="6">
        <v>5945119</v>
      </c>
      <c r="D69" s="6">
        <v>0.66</v>
      </c>
      <c r="E69" s="6">
        <v>2.3757999999999999</v>
      </c>
      <c r="F69" s="6">
        <v>767292440</v>
      </c>
      <c r="G69" s="6">
        <v>268931319</v>
      </c>
    </row>
    <row r="70" spans="1:7">
      <c r="A70" s="6">
        <v>12</v>
      </c>
      <c r="B70" s="6">
        <v>9000000</v>
      </c>
      <c r="C70" s="6">
        <v>4461373</v>
      </c>
      <c r="D70" s="6">
        <v>0.5</v>
      </c>
      <c r="E70" s="6">
        <v>2.4613</v>
      </c>
      <c r="F70" s="6">
        <v>807751436</v>
      </c>
      <c r="G70" s="6">
        <v>257374500</v>
      </c>
    </row>
    <row r="71" spans="1:7">
      <c r="A71" s="6">
        <v>13</v>
      </c>
      <c r="B71" s="6">
        <v>9000000</v>
      </c>
      <c r="C71" s="6">
        <v>4322941</v>
      </c>
      <c r="D71" s="6">
        <v>0.48</v>
      </c>
      <c r="E71" s="6">
        <v>2.5634000000000001</v>
      </c>
      <c r="F71" s="6">
        <v>850765920</v>
      </c>
      <c r="G71" s="6">
        <v>246436582</v>
      </c>
    </row>
    <row r="72" spans="1:7">
      <c r="A72" s="6">
        <v>14</v>
      </c>
      <c r="B72" s="6">
        <v>9000000</v>
      </c>
      <c r="C72" s="6">
        <v>5998738</v>
      </c>
      <c r="D72" s="6">
        <v>0.67</v>
      </c>
      <c r="E72" s="6">
        <v>3.2890000000000001</v>
      </c>
      <c r="F72" s="6">
        <v>1147488140</v>
      </c>
      <c r="G72" s="6">
        <v>302169491</v>
      </c>
    </row>
    <row r="73" spans="1:7">
      <c r="A73" s="6">
        <v>15</v>
      </c>
      <c r="B73" s="6">
        <v>8515770</v>
      </c>
      <c r="C73" s="6">
        <v>6484230</v>
      </c>
      <c r="D73" s="6">
        <v>0.76</v>
      </c>
      <c r="E73" s="6">
        <v>1.2963</v>
      </c>
      <c r="F73" s="6">
        <v>297742229</v>
      </c>
      <c r="G73" s="6">
        <v>71277122</v>
      </c>
    </row>
    <row r="74" spans="1:7">
      <c r="A74" s="6">
        <v>16</v>
      </c>
      <c r="B74" s="6">
        <v>6826727</v>
      </c>
      <c r="C74" s="6">
        <v>8173273</v>
      </c>
      <c r="D74" s="6">
        <v>1.2</v>
      </c>
      <c r="E74" s="6">
        <v>1.2525999999999999</v>
      </c>
      <c r="F74" s="6">
        <v>215123756</v>
      </c>
      <c r="G74" s="6">
        <v>46817197</v>
      </c>
    </row>
    <row r="75" spans="1:7">
      <c r="A75" s="6">
        <v>17</v>
      </c>
      <c r="B75" s="6">
        <v>7550930</v>
      </c>
      <c r="C75" s="6">
        <v>7449070</v>
      </c>
      <c r="D75" s="6">
        <v>0.99</v>
      </c>
      <c r="E75" s="6">
        <v>1.3620000000000001</v>
      </c>
      <c r="F75" s="6">
        <v>281411953</v>
      </c>
      <c r="G75" s="6">
        <v>55675855</v>
      </c>
    </row>
    <row r="76" spans="1:7">
      <c r="A76" s="6">
        <v>18</v>
      </c>
      <c r="B76" s="6">
        <v>6688891</v>
      </c>
      <c r="C76" s="6">
        <v>8311109</v>
      </c>
      <c r="D76" s="6">
        <v>1.24</v>
      </c>
      <c r="E76" s="6">
        <v>1.4369000000000001</v>
      </c>
      <c r="F76" s="6">
        <v>266854996</v>
      </c>
      <c r="G76" s="6">
        <v>47996217</v>
      </c>
    </row>
    <row r="77" spans="1:7">
      <c r="A77" s="6">
        <v>19</v>
      </c>
      <c r="B77" s="6">
        <v>6129706</v>
      </c>
      <c r="C77" s="6">
        <v>8870294</v>
      </c>
      <c r="D77" s="6">
        <v>1.45</v>
      </c>
      <c r="E77" s="6">
        <v>1.98</v>
      </c>
      <c r="F77" s="6">
        <v>394490636</v>
      </c>
      <c r="G77" s="6">
        <v>64502371</v>
      </c>
    </row>
    <row r="78" spans="1:7">
      <c r="A78" s="6">
        <v>20</v>
      </c>
      <c r="B78" s="6">
        <v>7284530</v>
      </c>
      <c r="C78" s="6">
        <v>7715470</v>
      </c>
      <c r="D78" s="6">
        <v>1.06</v>
      </c>
      <c r="E78" s="6">
        <v>1.2805</v>
      </c>
      <c r="F78" s="6">
        <v>242248874</v>
      </c>
      <c r="G78" s="6">
        <v>36008752</v>
      </c>
    </row>
    <row r="79" spans="1:7">
      <c r="A79" s="6">
        <v>21</v>
      </c>
      <c r="B79" s="6">
        <v>6112964</v>
      </c>
      <c r="C79" s="6">
        <v>8887036</v>
      </c>
      <c r="D79" s="6">
        <v>1.45</v>
      </c>
      <c r="E79" s="6">
        <v>0.96309999999999996</v>
      </c>
      <c r="F79" s="6">
        <v>105603545</v>
      </c>
      <c r="G79" s="6">
        <v>14270267</v>
      </c>
    </row>
    <row r="80" spans="1:7">
      <c r="A80" s="6">
        <v>22</v>
      </c>
      <c r="B80" s="6">
        <v>4825557</v>
      </c>
      <c r="C80" s="6">
        <v>10174443</v>
      </c>
      <c r="D80" s="6">
        <v>2.11</v>
      </c>
      <c r="E80" s="6">
        <v>0.99419999999999997</v>
      </c>
      <c r="F80" s="6">
        <v>79928377</v>
      </c>
      <c r="G80" s="6">
        <v>9818879</v>
      </c>
    </row>
    <row r="81" spans="1:7">
      <c r="A81" s="6">
        <v>23</v>
      </c>
      <c r="B81" s="6">
        <v>4507745</v>
      </c>
      <c r="C81" s="6">
        <v>10492255</v>
      </c>
      <c r="D81" s="6">
        <v>2.33</v>
      </c>
      <c r="E81" s="6">
        <v>1.0364</v>
      </c>
      <c r="F81" s="6">
        <v>80233405</v>
      </c>
      <c r="G81" s="6">
        <v>8960319</v>
      </c>
    </row>
    <row r="82" spans="1:7">
      <c r="A82" s="6">
        <v>24</v>
      </c>
      <c r="B82" s="6">
        <v>4724178</v>
      </c>
      <c r="C82" s="6">
        <v>10275822</v>
      </c>
      <c r="D82" s="6">
        <v>2.1800000000000002</v>
      </c>
      <c r="E82" s="6">
        <v>1.0718000000000001</v>
      </c>
      <c r="F82" s="6">
        <v>94189778</v>
      </c>
      <c r="G82" s="6">
        <v>9562673</v>
      </c>
    </row>
    <row r="83" spans="1:7">
      <c r="A83" s="6">
        <v>25</v>
      </c>
      <c r="B83" s="6">
        <v>4231509</v>
      </c>
      <c r="C83" s="6">
        <v>10768491</v>
      </c>
      <c r="D83" s="6">
        <v>2.54</v>
      </c>
      <c r="E83" s="6">
        <v>1.1197999999999999</v>
      </c>
      <c r="F83" s="6">
        <v>88633415</v>
      </c>
      <c r="G83" s="6">
        <v>8180510</v>
      </c>
    </row>
    <row r="84" spans="1:7">
      <c r="A84" s="6">
        <v>26</v>
      </c>
      <c r="B84" s="6">
        <v>3637357</v>
      </c>
      <c r="C84" s="6">
        <v>11362643</v>
      </c>
      <c r="D84" s="6">
        <v>3.12</v>
      </c>
      <c r="E84" s="6">
        <v>1.129</v>
      </c>
      <c r="F84" s="6">
        <v>70827277</v>
      </c>
      <c r="G84" s="6">
        <v>5942795</v>
      </c>
    </row>
    <row r="85" spans="1:7">
      <c r="A85" s="6">
        <v>27</v>
      </c>
      <c r="B85" s="6">
        <v>3592499</v>
      </c>
      <c r="C85" s="6">
        <v>11407501</v>
      </c>
      <c r="D85" s="6">
        <v>3.18</v>
      </c>
      <c r="E85" s="6">
        <v>1.1949000000000001</v>
      </c>
      <c r="F85" s="6">
        <v>80311250</v>
      </c>
      <c r="G85" s="6">
        <v>6125956</v>
      </c>
    </row>
    <row r="86" spans="1:7">
      <c r="A86" s="6">
        <v>28</v>
      </c>
      <c r="B86" s="6">
        <v>3882306</v>
      </c>
      <c r="C86" s="6">
        <v>11117694</v>
      </c>
      <c r="D86" s="6">
        <v>2.86</v>
      </c>
      <c r="E86" s="6">
        <v>1.3243</v>
      </c>
      <c r="F86" s="6">
        <v>114012356</v>
      </c>
      <c r="G86" s="6">
        <v>7905999</v>
      </c>
    </row>
    <row r="87" spans="1:7">
      <c r="A87" s="6">
        <v>29</v>
      </c>
      <c r="B87" s="6">
        <v>3940521</v>
      </c>
      <c r="C87" s="6">
        <v>11059479</v>
      </c>
      <c r="D87" s="6">
        <v>2.81</v>
      </c>
      <c r="E87" s="6">
        <v>1.4694</v>
      </c>
      <c r="F87" s="6">
        <v>142910132</v>
      </c>
      <c r="G87" s="6">
        <v>9008970</v>
      </c>
    </row>
    <row r="88" spans="1:7">
      <c r="A88" s="6">
        <v>30</v>
      </c>
      <c r="B88" s="6">
        <v>2798789</v>
      </c>
      <c r="C88" s="6">
        <v>12201211</v>
      </c>
      <c r="D88" s="6">
        <v>4.3600000000000003</v>
      </c>
      <c r="E88" s="6">
        <v>1.5401</v>
      </c>
      <c r="F88" s="6">
        <v>96408269</v>
      </c>
      <c r="G88" s="6">
        <v>5525018</v>
      </c>
    </row>
    <row r="89" spans="1:7">
      <c r="A89" s="6">
        <v>31</v>
      </c>
      <c r="B89" s="6">
        <v>4556415</v>
      </c>
      <c r="C89" s="6">
        <v>10443585</v>
      </c>
      <c r="D89" s="6">
        <v>2.29</v>
      </c>
      <c r="E89" s="6">
        <v>1.5250999999999999</v>
      </c>
      <c r="F89" s="6">
        <v>184683946</v>
      </c>
      <c r="G89" s="6">
        <v>9621791</v>
      </c>
    </row>
    <row r="90" spans="1:7">
      <c r="A90" s="6">
        <v>32</v>
      </c>
      <c r="B90" s="6">
        <v>5409941</v>
      </c>
      <c r="C90" s="6">
        <v>8454163</v>
      </c>
      <c r="D90" s="6">
        <v>1.56</v>
      </c>
      <c r="E90" s="6">
        <v>2.2480000000000002</v>
      </c>
      <c r="F90" s="6">
        <v>413208381</v>
      </c>
      <c r="G90" s="6">
        <v>19712319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0"/>
  <sheetViews>
    <sheetView topLeftCell="B1" workbookViewId="0">
      <selection activeCell="E33" sqref="E33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9600000</v>
      </c>
      <c r="C2" s="6">
        <v>5597858</v>
      </c>
      <c r="D2">
        <f>C2/2.5</f>
        <v>2239143.2000000002</v>
      </c>
      <c r="E2">
        <f>(D2/60)/10000</f>
        <v>3.7319053333333336</v>
      </c>
      <c r="F2">
        <f>(B2*2)/1000000</f>
        <v>19.2</v>
      </c>
      <c r="G2">
        <f>IFERROR(B2+C2,0)</f>
        <v>15197858</v>
      </c>
      <c r="H2">
        <f>SUM($G$2:G2)</f>
        <v>15197858</v>
      </c>
      <c r="I2">
        <f>((H2/2.5)/48)/10000</f>
        <v>12.664881666666666</v>
      </c>
      <c r="J2">
        <f>I2+F2+E2</f>
        <v>35.596786999999999</v>
      </c>
      <c r="K2">
        <f>A2*J2</f>
        <v>35.596786999999999</v>
      </c>
    </row>
    <row r="3" spans="1:11">
      <c r="A3">
        <v>2</v>
      </c>
      <c r="B3" s="6">
        <v>9600000</v>
      </c>
      <c r="C3" s="6">
        <v>5720945</v>
      </c>
      <c r="D3">
        <f t="shared" ref="D3:D33" si="0">C3/2.5</f>
        <v>2288378</v>
      </c>
      <c r="E3">
        <f t="shared" ref="E3:E33" si="1">(D3/60)/10000</f>
        <v>3.8139633333333331</v>
      </c>
      <c r="F3">
        <f t="shared" ref="F3:F34" si="2">(B3*2)/1000000</f>
        <v>19.2</v>
      </c>
      <c r="G3">
        <f>IFERROR(B3+C3,0)</f>
        <v>15320945</v>
      </c>
      <c r="H3">
        <f>SUM($G$2:G3)</f>
        <v>30518803</v>
      </c>
      <c r="I3">
        <f t="shared" ref="I3:I32" si="3">((H3/2.5)/48)/10000</f>
        <v>25.43233583333333</v>
      </c>
      <c r="J3">
        <f t="shared" ref="J3:J33" si="4">I3+F3+E3</f>
        <v>48.446299166666662</v>
      </c>
      <c r="K3">
        <f t="shared" ref="K3:K33" si="5">A3*J3</f>
        <v>96.892598333333325</v>
      </c>
    </row>
    <row r="4" spans="1:11">
      <c r="A4">
        <v>3</v>
      </c>
      <c r="B4" s="6">
        <v>9600000</v>
      </c>
      <c r="C4" s="6">
        <v>6234335</v>
      </c>
      <c r="D4">
        <f t="shared" si="0"/>
        <v>2493734</v>
      </c>
      <c r="E4">
        <f t="shared" si="1"/>
        <v>4.1562233333333332</v>
      </c>
      <c r="F4">
        <f t="shared" si="2"/>
        <v>19.2</v>
      </c>
      <c r="G4">
        <f>IFERROR(B4+C4,0)</f>
        <v>15834335</v>
      </c>
      <c r="H4">
        <f>SUM($G$2:G4)</f>
        <v>46353138</v>
      </c>
      <c r="I4">
        <f t="shared" si="3"/>
        <v>38.627614999999999</v>
      </c>
      <c r="J4">
        <f t="shared" si="4"/>
        <v>61.983838333333324</v>
      </c>
      <c r="K4">
        <f t="shared" si="5"/>
        <v>185.95151499999997</v>
      </c>
    </row>
    <row r="5" spans="1:11">
      <c r="A5">
        <v>4</v>
      </c>
      <c r="B5" s="6">
        <v>9463269</v>
      </c>
      <c r="C5" s="6">
        <v>6536731</v>
      </c>
      <c r="D5">
        <f t="shared" si="0"/>
        <v>2614692.4</v>
      </c>
      <c r="E5">
        <f t="shared" si="1"/>
        <v>4.3578206666666661</v>
      </c>
      <c r="F5">
        <f t="shared" si="2"/>
        <v>18.926538000000001</v>
      </c>
      <c r="G5">
        <f>IFERROR(B5+C5,0)</f>
        <v>16000000</v>
      </c>
      <c r="H5">
        <f>SUM($G$2:G5)</f>
        <v>62353138</v>
      </c>
      <c r="I5">
        <f t="shared" si="3"/>
        <v>51.960948333333334</v>
      </c>
      <c r="J5">
        <f t="shared" si="4"/>
        <v>75.245306999999997</v>
      </c>
      <c r="K5">
        <f t="shared" si="5"/>
        <v>300.98122799999999</v>
      </c>
    </row>
    <row r="6" spans="1:11">
      <c r="A6">
        <v>5</v>
      </c>
      <c r="B6" s="6">
        <v>8770456</v>
      </c>
      <c r="C6" s="6">
        <v>7229544</v>
      </c>
      <c r="D6">
        <f t="shared" si="0"/>
        <v>2891817.6</v>
      </c>
      <c r="E6">
        <f t="shared" si="1"/>
        <v>4.8196959999999995</v>
      </c>
      <c r="F6">
        <f t="shared" si="2"/>
        <v>17.540911999999999</v>
      </c>
      <c r="G6">
        <f>IFERROR(B6+C6,0)</f>
        <v>16000000</v>
      </c>
      <c r="H6">
        <f>SUM($G$2:G6)</f>
        <v>78353138</v>
      </c>
      <c r="I6">
        <f t="shared" si="3"/>
        <v>65.294281666666663</v>
      </c>
      <c r="J6">
        <f t="shared" si="4"/>
        <v>87.654889666666662</v>
      </c>
      <c r="K6">
        <f t="shared" si="5"/>
        <v>438.27444833333334</v>
      </c>
    </row>
    <row r="7" spans="1:11">
      <c r="A7">
        <v>6</v>
      </c>
      <c r="B7" s="6">
        <v>8719479</v>
      </c>
      <c r="C7" s="6">
        <v>7280522</v>
      </c>
      <c r="D7">
        <f t="shared" si="0"/>
        <v>2912208.8</v>
      </c>
      <c r="E7">
        <f t="shared" si="1"/>
        <v>4.8536813333333333</v>
      </c>
      <c r="F7">
        <f t="shared" si="2"/>
        <v>17.438958</v>
      </c>
      <c r="G7">
        <f>IFERROR(B7+C7,0)</f>
        <v>16000001</v>
      </c>
      <c r="H7">
        <f>SUM($G$2:G7)</f>
        <v>94353139</v>
      </c>
      <c r="I7">
        <f t="shared" si="3"/>
        <v>78.627615833333337</v>
      </c>
      <c r="J7">
        <f t="shared" si="4"/>
        <v>100.92025516666666</v>
      </c>
      <c r="K7">
        <f t="shared" si="5"/>
        <v>605.52153099999998</v>
      </c>
    </row>
    <row r="8" spans="1:11">
      <c r="A8">
        <v>7</v>
      </c>
      <c r="B8" s="6">
        <v>9600000</v>
      </c>
      <c r="C8" s="6">
        <v>5844697</v>
      </c>
      <c r="D8">
        <f t="shared" si="0"/>
        <v>2337878.7999999998</v>
      </c>
      <c r="E8">
        <f t="shared" si="1"/>
        <v>3.8964646666666658</v>
      </c>
      <c r="F8">
        <f t="shared" si="2"/>
        <v>19.2</v>
      </c>
      <c r="G8">
        <f>IFERROR(B8+C8,0)</f>
        <v>15444697</v>
      </c>
      <c r="H8">
        <f>SUM($G$2:G8)</f>
        <v>109797836</v>
      </c>
      <c r="I8">
        <f t="shared" si="3"/>
        <v>91.498196666666672</v>
      </c>
      <c r="J8">
        <f t="shared" si="4"/>
        <v>114.59466133333333</v>
      </c>
      <c r="K8">
        <f t="shared" si="5"/>
        <v>802.16262933333337</v>
      </c>
    </row>
    <row r="9" spans="1:11">
      <c r="A9">
        <v>8</v>
      </c>
      <c r="B9" s="6">
        <v>9600000</v>
      </c>
      <c r="C9" s="6">
        <v>4888526</v>
      </c>
      <c r="D9">
        <f t="shared" si="0"/>
        <v>1955410.4</v>
      </c>
      <c r="E9">
        <f t="shared" si="1"/>
        <v>3.2590173333333334</v>
      </c>
      <c r="F9">
        <f t="shared" si="2"/>
        <v>19.2</v>
      </c>
      <c r="G9">
        <f>IFERROR(B9+C9,0)</f>
        <v>14488526</v>
      </c>
      <c r="H9">
        <f>SUM($G$2:G9)</f>
        <v>124286362</v>
      </c>
      <c r="I9">
        <f t="shared" si="3"/>
        <v>103.57196833333332</v>
      </c>
      <c r="J9">
        <f t="shared" si="4"/>
        <v>126.03098566666665</v>
      </c>
      <c r="K9">
        <f t="shared" si="5"/>
        <v>1008.2478853333332</v>
      </c>
    </row>
    <row r="10" spans="1:11">
      <c r="A10">
        <v>9</v>
      </c>
      <c r="B10" s="6">
        <v>9600000</v>
      </c>
      <c r="C10" s="6">
        <v>4855304</v>
      </c>
      <c r="D10">
        <f t="shared" si="0"/>
        <v>1942121.6</v>
      </c>
      <c r="E10">
        <f t="shared" si="1"/>
        <v>3.2368693333333338</v>
      </c>
      <c r="F10">
        <f t="shared" si="2"/>
        <v>19.2</v>
      </c>
      <c r="G10">
        <f>IFERROR(B10+C10,0)</f>
        <v>14455304</v>
      </c>
      <c r="H10">
        <f>SUM($G$2:G10)</f>
        <v>138741666</v>
      </c>
      <c r="I10">
        <f t="shared" si="3"/>
        <v>115.618055</v>
      </c>
      <c r="J10">
        <f t="shared" si="4"/>
        <v>138.05492433333333</v>
      </c>
      <c r="K10">
        <f t="shared" si="5"/>
        <v>1242.4943189999999</v>
      </c>
    </row>
    <row r="11" spans="1:11">
      <c r="A11">
        <v>10</v>
      </c>
      <c r="B11" s="6">
        <v>9600000</v>
      </c>
      <c r="C11" s="6">
        <v>4676234</v>
      </c>
      <c r="D11">
        <f t="shared" si="0"/>
        <v>1870493.6</v>
      </c>
      <c r="E11">
        <f t="shared" si="1"/>
        <v>3.1174893333333333</v>
      </c>
      <c r="F11">
        <f t="shared" si="2"/>
        <v>19.2</v>
      </c>
      <c r="G11">
        <f>IFERROR(B11+C11,0)</f>
        <v>14276234</v>
      </c>
      <c r="H11">
        <f>SUM($G$2:G11)</f>
        <v>153017900</v>
      </c>
      <c r="I11">
        <f t="shared" si="3"/>
        <v>127.51491666666668</v>
      </c>
      <c r="J11">
        <f t="shared" si="4"/>
        <v>149.83240600000002</v>
      </c>
      <c r="K11">
        <f t="shared" si="5"/>
        <v>1498.3240600000001</v>
      </c>
    </row>
    <row r="12" spans="1:11">
      <c r="A12">
        <v>11</v>
      </c>
      <c r="B12" s="6">
        <v>9600000</v>
      </c>
      <c r="C12" s="6">
        <v>6254607</v>
      </c>
      <c r="D12">
        <f t="shared" si="0"/>
        <v>2501842.7999999998</v>
      </c>
      <c r="E12">
        <f t="shared" si="1"/>
        <v>4.1697379999999997</v>
      </c>
      <c r="F12">
        <f t="shared" si="2"/>
        <v>19.2</v>
      </c>
      <c r="G12">
        <f>IFERROR(B12+C12,0)</f>
        <v>15854607</v>
      </c>
      <c r="H12">
        <f>SUM($G$2:G12)</f>
        <v>168872507</v>
      </c>
      <c r="I12">
        <f t="shared" si="3"/>
        <v>140.72708916666667</v>
      </c>
      <c r="J12">
        <f t="shared" si="4"/>
        <v>164.09682716666666</v>
      </c>
      <c r="K12">
        <f t="shared" si="5"/>
        <v>1805.0650988333332</v>
      </c>
    </row>
    <row r="13" spans="1:11">
      <c r="A13">
        <v>12</v>
      </c>
      <c r="B13" s="6">
        <v>9600000</v>
      </c>
      <c r="C13" s="6">
        <v>6380704</v>
      </c>
      <c r="D13">
        <f t="shared" si="0"/>
        <v>2552281.6</v>
      </c>
      <c r="E13">
        <f t="shared" si="1"/>
        <v>4.2538026666666662</v>
      </c>
      <c r="F13">
        <f t="shared" si="2"/>
        <v>19.2</v>
      </c>
      <c r="G13">
        <f>IFERROR(B13+C13,0)</f>
        <v>15980704</v>
      </c>
      <c r="H13">
        <f>SUM($G$2:G13)</f>
        <v>184853211</v>
      </c>
      <c r="I13">
        <f t="shared" si="3"/>
        <v>154.0443425</v>
      </c>
      <c r="J13">
        <f t="shared" si="4"/>
        <v>177.49814516666666</v>
      </c>
      <c r="K13">
        <f t="shared" si="5"/>
        <v>2129.977742</v>
      </c>
    </row>
    <row r="14" spans="1:11">
      <c r="A14">
        <v>13</v>
      </c>
      <c r="B14" s="6">
        <v>9600000</v>
      </c>
      <c r="C14" s="6">
        <v>6397215</v>
      </c>
      <c r="D14">
        <f t="shared" si="0"/>
        <v>2558886</v>
      </c>
      <c r="E14">
        <f t="shared" si="1"/>
        <v>4.2648099999999998</v>
      </c>
      <c r="F14">
        <f t="shared" si="2"/>
        <v>19.2</v>
      </c>
      <c r="G14">
        <f>IFERROR(B14+C14,0)</f>
        <v>15997215</v>
      </c>
      <c r="H14">
        <f>SUM($G$2:G14)</f>
        <v>200850426</v>
      </c>
      <c r="I14">
        <f t="shared" si="3"/>
        <v>167.37535500000001</v>
      </c>
      <c r="J14">
        <f t="shared" si="4"/>
        <v>190.84016500000001</v>
      </c>
      <c r="K14">
        <f t="shared" si="5"/>
        <v>2480.922145</v>
      </c>
    </row>
    <row r="15" spans="1:11">
      <c r="A15">
        <v>14</v>
      </c>
      <c r="B15" s="6">
        <v>8287496</v>
      </c>
      <c r="C15" s="6">
        <v>7712504</v>
      </c>
      <c r="D15">
        <f t="shared" si="0"/>
        <v>3085001.6</v>
      </c>
      <c r="E15">
        <f t="shared" si="1"/>
        <v>5.1416693333333336</v>
      </c>
      <c r="F15">
        <f t="shared" si="2"/>
        <v>16.574992000000002</v>
      </c>
      <c r="G15">
        <f>IFERROR(B15+C15,0)</f>
        <v>16000000</v>
      </c>
      <c r="H15">
        <f>SUM($G$2:G15)</f>
        <v>216850426</v>
      </c>
      <c r="I15">
        <f t="shared" si="3"/>
        <v>180.70868833333336</v>
      </c>
      <c r="J15">
        <f t="shared" si="4"/>
        <v>202.4253496666667</v>
      </c>
      <c r="K15">
        <f t="shared" si="5"/>
        <v>2833.9548953333338</v>
      </c>
    </row>
    <row r="16" spans="1:11">
      <c r="A16">
        <v>15</v>
      </c>
      <c r="B16" s="6">
        <v>7752461</v>
      </c>
      <c r="C16" s="6">
        <v>8247539</v>
      </c>
      <c r="D16">
        <f t="shared" si="0"/>
        <v>3299015.6</v>
      </c>
      <c r="E16">
        <f t="shared" si="1"/>
        <v>5.498359333333334</v>
      </c>
      <c r="F16">
        <f t="shared" si="2"/>
        <v>15.504922000000001</v>
      </c>
      <c r="G16">
        <f>IFERROR(B16+C16,0)</f>
        <v>16000000</v>
      </c>
      <c r="H16">
        <f>SUM($G$2:G16)</f>
        <v>232850426</v>
      </c>
      <c r="I16">
        <f t="shared" si="3"/>
        <v>194.04202166666667</v>
      </c>
      <c r="J16">
        <f t="shared" si="4"/>
        <v>215.04530299999999</v>
      </c>
      <c r="K16">
        <f t="shared" si="5"/>
        <v>3225.679545</v>
      </c>
    </row>
    <row r="17" spans="1:11">
      <c r="A17">
        <v>16</v>
      </c>
      <c r="B17" s="6">
        <v>6415746</v>
      </c>
      <c r="C17" s="6">
        <v>9584254</v>
      </c>
      <c r="D17">
        <f t="shared" si="0"/>
        <v>3833701.6</v>
      </c>
      <c r="E17">
        <f t="shared" si="1"/>
        <v>6.3895026666666661</v>
      </c>
      <c r="F17">
        <f t="shared" si="2"/>
        <v>12.831492000000001</v>
      </c>
      <c r="G17">
        <f>IFERROR(B17+C17,0)</f>
        <v>16000000</v>
      </c>
      <c r="H17">
        <f>SUM($G$2:G17)</f>
        <v>248850426</v>
      </c>
      <c r="I17">
        <f t="shared" si="3"/>
        <v>207.37535500000001</v>
      </c>
      <c r="J17">
        <f t="shared" si="4"/>
        <v>226.59634966666667</v>
      </c>
      <c r="K17">
        <f t="shared" si="5"/>
        <v>3625.5415946666667</v>
      </c>
    </row>
    <row r="18" spans="1:11">
      <c r="A18">
        <v>17</v>
      </c>
      <c r="B18" s="6">
        <v>5760079</v>
      </c>
      <c r="C18" s="6">
        <v>10239921</v>
      </c>
      <c r="D18">
        <f t="shared" si="0"/>
        <v>4095968.4</v>
      </c>
      <c r="E18">
        <f t="shared" si="1"/>
        <v>6.8266140000000002</v>
      </c>
      <c r="F18">
        <f t="shared" si="2"/>
        <v>11.520158</v>
      </c>
      <c r="G18">
        <f>IFERROR(B18+C18,0)</f>
        <v>16000000</v>
      </c>
      <c r="H18">
        <f>SUM($G$2:G18)</f>
        <v>264850426</v>
      </c>
      <c r="I18">
        <f t="shared" si="3"/>
        <v>220.70868833333333</v>
      </c>
      <c r="J18">
        <f t="shared" si="4"/>
        <v>239.05546033333334</v>
      </c>
      <c r="K18">
        <f t="shared" si="5"/>
        <v>4063.942825666667</v>
      </c>
    </row>
    <row r="19" spans="1:11">
      <c r="A19">
        <v>18</v>
      </c>
      <c r="B19" s="6">
        <v>6027567</v>
      </c>
      <c r="C19" s="6">
        <v>9972433</v>
      </c>
      <c r="D19">
        <f t="shared" si="0"/>
        <v>3988973.2</v>
      </c>
      <c r="E19">
        <f t="shared" si="1"/>
        <v>6.6482886666666676</v>
      </c>
      <c r="F19">
        <f t="shared" si="2"/>
        <v>12.055134000000001</v>
      </c>
      <c r="G19">
        <f>IFERROR(B19+C19,0)</f>
        <v>16000000</v>
      </c>
      <c r="H19">
        <f>SUM($G$2:G19)</f>
        <v>280850426</v>
      </c>
      <c r="I19">
        <f t="shared" si="3"/>
        <v>234.04202166666667</v>
      </c>
      <c r="J19">
        <f t="shared" si="4"/>
        <v>252.74544433333335</v>
      </c>
      <c r="K19">
        <f t="shared" si="5"/>
        <v>4549.4179980000008</v>
      </c>
    </row>
    <row r="20" spans="1:11">
      <c r="A20">
        <v>19</v>
      </c>
      <c r="B20" s="6">
        <v>6457179</v>
      </c>
      <c r="C20" s="6">
        <v>9542821</v>
      </c>
      <c r="D20">
        <f t="shared" si="0"/>
        <v>3817128.4</v>
      </c>
      <c r="E20">
        <f t="shared" si="1"/>
        <v>6.3618806666666661</v>
      </c>
      <c r="F20">
        <f t="shared" si="2"/>
        <v>12.914358</v>
      </c>
      <c r="G20">
        <f>IFERROR(B20+C20,0)</f>
        <v>16000000</v>
      </c>
      <c r="H20">
        <f>SUM($G$2:G20)</f>
        <v>296850426</v>
      </c>
      <c r="I20">
        <f t="shared" si="3"/>
        <v>247.37535500000004</v>
      </c>
      <c r="J20">
        <f t="shared" si="4"/>
        <v>266.65159366666671</v>
      </c>
      <c r="K20">
        <f t="shared" si="5"/>
        <v>5066.3802796666678</v>
      </c>
    </row>
    <row r="21" spans="1:11">
      <c r="A21">
        <v>20</v>
      </c>
      <c r="B21" s="6">
        <v>6329917</v>
      </c>
      <c r="C21" s="6">
        <v>9670083</v>
      </c>
      <c r="D21">
        <f t="shared" si="0"/>
        <v>3868033.2</v>
      </c>
      <c r="E21">
        <f t="shared" si="1"/>
        <v>6.4467220000000003</v>
      </c>
      <c r="F21">
        <f t="shared" si="2"/>
        <v>12.659834</v>
      </c>
      <c r="G21">
        <f>IFERROR(B21+C21,0)</f>
        <v>16000000</v>
      </c>
      <c r="H21">
        <f>SUM($G$2:G21)</f>
        <v>312850426</v>
      </c>
      <c r="I21">
        <f t="shared" si="3"/>
        <v>260.70868833333333</v>
      </c>
      <c r="J21">
        <f t="shared" si="4"/>
        <v>279.81524433333334</v>
      </c>
      <c r="K21">
        <f t="shared" si="5"/>
        <v>5596.3048866666668</v>
      </c>
    </row>
    <row r="22" spans="1:11">
      <c r="A22">
        <v>21</v>
      </c>
      <c r="B22" s="6">
        <v>5992119</v>
      </c>
      <c r="C22" s="6">
        <v>10007881</v>
      </c>
      <c r="D22">
        <f t="shared" si="0"/>
        <v>4003152.4</v>
      </c>
      <c r="E22">
        <f t="shared" si="1"/>
        <v>6.6719206666666668</v>
      </c>
      <c r="F22">
        <f t="shared" si="2"/>
        <v>11.984238</v>
      </c>
      <c r="G22">
        <f>IFERROR(B22+C22,0)</f>
        <v>16000000</v>
      </c>
      <c r="H22">
        <f>SUM($G$2:G22)</f>
        <v>328850426</v>
      </c>
      <c r="I22">
        <f t="shared" si="3"/>
        <v>274.0420216666667</v>
      </c>
      <c r="J22">
        <f t="shared" si="4"/>
        <v>292.69818033333337</v>
      </c>
      <c r="K22">
        <f t="shared" si="5"/>
        <v>6146.6617870000009</v>
      </c>
    </row>
    <row r="23" spans="1:11">
      <c r="A23">
        <v>22</v>
      </c>
      <c r="B23" s="6">
        <v>5436161</v>
      </c>
      <c r="C23" s="6">
        <v>10563839</v>
      </c>
      <c r="D23">
        <f t="shared" si="0"/>
        <v>4225535.5999999996</v>
      </c>
      <c r="E23">
        <f t="shared" si="1"/>
        <v>7.0425593333333323</v>
      </c>
      <c r="F23">
        <f t="shared" si="2"/>
        <v>10.872322</v>
      </c>
      <c r="G23">
        <f>IFERROR(B23+C23,0)</f>
        <v>16000000</v>
      </c>
      <c r="H23">
        <f>SUM($G$2:G23)</f>
        <v>344850426</v>
      </c>
      <c r="I23">
        <f t="shared" si="3"/>
        <v>287.37535500000001</v>
      </c>
      <c r="J23">
        <f t="shared" si="4"/>
        <v>305.29023633333333</v>
      </c>
      <c r="K23">
        <f t="shared" si="5"/>
        <v>6716.3851993333328</v>
      </c>
    </row>
    <row r="24" spans="1:11">
      <c r="A24">
        <v>23</v>
      </c>
      <c r="B24" s="6">
        <v>5206031</v>
      </c>
      <c r="C24" s="6">
        <v>10793969</v>
      </c>
      <c r="D24">
        <f t="shared" si="0"/>
        <v>4317587.5999999996</v>
      </c>
      <c r="E24">
        <f t="shared" si="1"/>
        <v>7.195979333333332</v>
      </c>
      <c r="F24">
        <f t="shared" si="2"/>
        <v>10.412062000000001</v>
      </c>
      <c r="G24">
        <f>IFERROR(B24+C24,0)</f>
        <v>16000000</v>
      </c>
      <c r="H24">
        <f>SUM($G$2:G24)</f>
        <v>360850426</v>
      </c>
      <c r="I24">
        <f t="shared" si="3"/>
        <v>300.70868833333333</v>
      </c>
      <c r="J24">
        <f t="shared" si="4"/>
        <v>318.31672966666667</v>
      </c>
      <c r="K24">
        <f t="shared" si="5"/>
        <v>7321.2847823333332</v>
      </c>
    </row>
    <row r="25" spans="1:11">
      <c r="A25">
        <v>24</v>
      </c>
      <c r="B25" s="6">
        <v>4967201</v>
      </c>
      <c r="C25" s="6">
        <v>11032799</v>
      </c>
      <c r="D25">
        <f t="shared" si="0"/>
        <v>4413119.5999999996</v>
      </c>
      <c r="E25">
        <f t="shared" si="1"/>
        <v>7.3551993333333332</v>
      </c>
      <c r="F25">
        <f t="shared" si="2"/>
        <v>9.9344020000000004</v>
      </c>
      <c r="G25">
        <f>IFERROR(B25+C25,0)</f>
        <v>16000000</v>
      </c>
      <c r="H25">
        <f>SUM($G$2:G25)</f>
        <v>376850426</v>
      </c>
      <c r="I25">
        <f t="shared" si="3"/>
        <v>314.0420216666667</v>
      </c>
      <c r="J25">
        <f t="shared" si="4"/>
        <v>331.33162300000004</v>
      </c>
      <c r="K25">
        <f t="shared" si="5"/>
        <v>7951.9589520000009</v>
      </c>
    </row>
    <row r="26" spans="1:11">
      <c r="A26">
        <v>25</v>
      </c>
      <c r="B26" s="6">
        <v>4770516</v>
      </c>
      <c r="C26" s="6">
        <v>11229484</v>
      </c>
      <c r="D26">
        <f t="shared" si="0"/>
        <v>4491793.5999999996</v>
      </c>
      <c r="E26">
        <f t="shared" si="1"/>
        <v>7.4863226666666653</v>
      </c>
      <c r="F26">
        <f t="shared" si="2"/>
        <v>9.5410319999999995</v>
      </c>
      <c r="G26">
        <f>IFERROR(B26+C26,0)</f>
        <v>16000000</v>
      </c>
      <c r="H26">
        <f>SUM($G$2:G26)</f>
        <v>392850426</v>
      </c>
      <c r="I26">
        <f t="shared" si="3"/>
        <v>327.37535500000001</v>
      </c>
      <c r="J26">
        <f t="shared" si="4"/>
        <v>344.40270966666662</v>
      </c>
      <c r="K26">
        <f t="shared" si="5"/>
        <v>8610.0677416666658</v>
      </c>
    </row>
    <row r="27" spans="1:11">
      <c r="A27">
        <v>26</v>
      </c>
      <c r="B27" s="6">
        <v>4186265</v>
      </c>
      <c r="C27" s="6">
        <v>11813735</v>
      </c>
      <c r="D27">
        <f t="shared" si="0"/>
        <v>4725494</v>
      </c>
      <c r="E27">
        <f t="shared" si="1"/>
        <v>7.8758233333333338</v>
      </c>
      <c r="F27">
        <f t="shared" si="2"/>
        <v>8.3725299999999994</v>
      </c>
      <c r="G27">
        <f>IFERROR(B27+C27,0)</f>
        <v>16000000</v>
      </c>
      <c r="H27">
        <f>SUM($G$2:G27)</f>
        <v>408850426</v>
      </c>
      <c r="I27">
        <f t="shared" si="3"/>
        <v>340.70868833333333</v>
      </c>
      <c r="J27">
        <f t="shared" si="4"/>
        <v>356.95704166666667</v>
      </c>
      <c r="K27">
        <f t="shared" si="5"/>
        <v>9280.8830833333341</v>
      </c>
    </row>
    <row r="28" spans="1:11">
      <c r="A28">
        <v>27</v>
      </c>
      <c r="B28" s="6">
        <v>4784369</v>
      </c>
      <c r="C28" s="6">
        <v>11215631</v>
      </c>
      <c r="D28">
        <f t="shared" si="0"/>
        <v>4486252.4000000004</v>
      </c>
      <c r="E28">
        <f t="shared" si="1"/>
        <v>7.4770873333333334</v>
      </c>
      <c r="F28">
        <f t="shared" si="2"/>
        <v>9.5687379999999997</v>
      </c>
      <c r="G28">
        <f>IFERROR(B28+C28,0)</f>
        <v>16000000</v>
      </c>
      <c r="H28">
        <f>SUM($G$2:G28)</f>
        <v>424850426</v>
      </c>
      <c r="I28">
        <f t="shared" si="3"/>
        <v>354.0420216666667</v>
      </c>
      <c r="J28">
        <f t="shared" si="4"/>
        <v>371.08784700000001</v>
      </c>
      <c r="K28">
        <f t="shared" si="5"/>
        <v>10019.371869000001</v>
      </c>
    </row>
    <row r="29" spans="1:11">
      <c r="A29">
        <v>28</v>
      </c>
      <c r="B29" s="6">
        <v>5986139</v>
      </c>
      <c r="C29" s="6">
        <v>10013861</v>
      </c>
      <c r="D29">
        <f t="shared" si="0"/>
        <v>4005544.4</v>
      </c>
      <c r="E29">
        <f t="shared" si="1"/>
        <v>6.675907333333333</v>
      </c>
      <c r="F29">
        <f t="shared" si="2"/>
        <v>11.972277999999999</v>
      </c>
      <c r="G29">
        <f>IFERROR(B29+C29,0)</f>
        <v>16000000</v>
      </c>
      <c r="H29">
        <f>SUM($G$2:G29)</f>
        <v>440850426</v>
      </c>
      <c r="I29">
        <f t="shared" si="3"/>
        <v>367.37535500000001</v>
      </c>
      <c r="J29">
        <f t="shared" si="4"/>
        <v>386.02354033333336</v>
      </c>
      <c r="K29">
        <f t="shared" si="5"/>
        <v>10808.659129333333</v>
      </c>
    </row>
    <row r="30" spans="1:11">
      <c r="A30">
        <v>29</v>
      </c>
      <c r="B30" s="6">
        <v>3678910</v>
      </c>
      <c r="C30" s="6">
        <v>5385545</v>
      </c>
      <c r="D30">
        <f t="shared" si="0"/>
        <v>2154218</v>
      </c>
      <c r="E30">
        <f t="shared" si="1"/>
        <v>3.5903633333333334</v>
      </c>
      <c r="F30">
        <f t="shared" si="2"/>
        <v>7.3578200000000002</v>
      </c>
      <c r="G30">
        <f>IFERROR(B30+C30,0)</f>
        <v>9064455</v>
      </c>
      <c r="H30">
        <f>SUM($G$2:G30)</f>
        <v>449914881</v>
      </c>
      <c r="I30">
        <f t="shared" si="3"/>
        <v>374.92906750000003</v>
      </c>
      <c r="J30">
        <f t="shared" si="4"/>
        <v>385.87725083333339</v>
      </c>
      <c r="K30">
        <f t="shared" si="5"/>
        <v>11190.440274166669</v>
      </c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234923521</v>
      </c>
    </row>
    <row r="37" spans="1:10">
      <c r="H37" s="14" t="s">
        <v>37</v>
      </c>
      <c r="I37" t="s">
        <v>2</v>
      </c>
      <c r="J37" s="15">
        <f>MAX(K2:K33)</f>
        <v>11190.440274166669</v>
      </c>
    </row>
    <row r="38" spans="1:10">
      <c r="I38" t="s">
        <v>3</v>
      </c>
      <c r="J38" s="15">
        <f>MAX(J2:J33)</f>
        <v>386.02354033333336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>
        <v>1</v>
      </c>
      <c r="B60" s="6">
        <v>9600000</v>
      </c>
      <c r="C60" s="6">
        <v>5597858</v>
      </c>
      <c r="D60" s="6">
        <v>0.57999999999999996</v>
      </c>
      <c r="E60" s="6">
        <v>2.3401000000000001</v>
      </c>
      <c r="F60" s="6">
        <v>805038998</v>
      </c>
      <c r="G60" s="6">
        <v>731853635</v>
      </c>
    </row>
    <row r="61" spans="1:9">
      <c r="A61" s="6">
        <v>2</v>
      </c>
      <c r="B61" s="6">
        <v>9600000</v>
      </c>
      <c r="C61" s="6">
        <v>5720945</v>
      </c>
      <c r="D61" s="6">
        <v>0.6</v>
      </c>
      <c r="E61" s="6">
        <v>1.7266999999999999</v>
      </c>
      <c r="F61" s="6">
        <v>532091770</v>
      </c>
      <c r="G61" s="6">
        <v>439745264</v>
      </c>
    </row>
    <row r="62" spans="1:9">
      <c r="A62" s="6">
        <v>3</v>
      </c>
      <c r="B62" s="6">
        <v>9600000</v>
      </c>
      <c r="C62" s="6">
        <v>6234335</v>
      </c>
      <c r="D62" s="6">
        <v>0.65</v>
      </c>
      <c r="E62" s="6">
        <v>2.0628000000000002</v>
      </c>
      <c r="F62" s="6">
        <v>679732668</v>
      </c>
      <c r="G62" s="6">
        <v>510693214</v>
      </c>
    </row>
    <row r="63" spans="1:9">
      <c r="A63" s="6">
        <v>4</v>
      </c>
      <c r="B63" s="6">
        <v>9463269</v>
      </c>
      <c r="C63" s="6">
        <v>6536731</v>
      </c>
      <c r="D63" s="6">
        <v>0.69</v>
      </c>
      <c r="E63" s="6">
        <v>2.4485000000000001</v>
      </c>
      <c r="F63" s="6">
        <v>837695114</v>
      </c>
      <c r="G63" s="6">
        <v>572157035</v>
      </c>
    </row>
    <row r="64" spans="1:9">
      <c r="A64" s="6">
        <v>5</v>
      </c>
      <c r="B64" s="6">
        <v>8770456</v>
      </c>
      <c r="C64" s="6">
        <v>7229544</v>
      </c>
      <c r="D64" s="6">
        <v>0.82</v>
      </c>
      <c r="E64" s="6">
        <v>2.5245000000000002</v>
      </c>
      <c r="F64" s="6">
        <v>803359628</v>
      </c>
      <c r="G64" s="6">
        <v>498823123</v>
      </c>
    </row>
    <row r="65" spans="1:7">
      <c r="A65" s="6">
        <v>6</v>
      </c>
      <c r="B65" s="6">
        <v>8719479</v>
      </c>
      <c r="C65" s="6">
        <v>7280522</v>
      </c>
      <c r="D65" s="6">
        <v>0.83</v>
      </c>
      <c r="E65" s="6">
        <v>2.4617</v>
      </c>
      <c r="F65" s="6">
        <v>773039295</v>
      </c>
      <c r="G65" s="6">
        <v>436360529</v>
      </c>
    </row>
    <row r="66" spans="1:7">
      <c r="A66" s="6">
        <v>7</v>
      </c>
      <c r="B66" s="6">
        <v>9600000</v>
      </c>
      <c r="C66" s="6">
        <v>5844697</v>
      </c>
      <c r="D66" s="6">
        <v>0.61</v>
      </c>
      <c r="E66" s="6">
        <v>2.4619</v>
      </c>
      <c r="F66" s="6">
        <v>858334421</v>
      </c>
      <c r="G66" s="6">
        <v>440461276</v>
      </c>
    </row>
    <row r="67" spans="1:7">
      <c r="A67" s="6">
        <v>8</v>
      </c>
      <c r="B67" s="6">
        <v>9600000</v>
      </c>
      <c r="C67" s="6">
        <v>4888526</v>
      </c>
      <c r="D67" s="6">
        <v>0.51</v>
      </c>
      <c r="E67" s="6">
        <v>2.359</v>
      </c>
      <c r="F67" s="6">
        <v>815758568</v>
      </c>
      <c r="G67" s="6">
        <v>380557392</v>
      </c>
    </row>
    <row r="68" spans="1:7">
      <c r="A68" s="6">
        <v>9</v>
      </c>
      <c r="B68" s="6">
        <v>9600000</v>
      </c>
      <c r="C68" s="6">
        <v>4855304</v>
      </c>
      <c r="D68" s="6">
        <v>0.51</v>
      </c>
      <c r="E68" s="6">
        <v>2.3572000000000002</v>
      </c>
      <c r="F68" s="6">
        <v>815042927</v>
      </c>
      <c r="G68" s="6">
        <v>345657764</v>
      </c>
    </row>
    <row r="69" spans="1:7">
      <c r="A69" s="6">
        <v>10</v>
      </c>
      <c r="B69" s="6">
        <v>9600000</v>
      </c>
      <c r="C69" s="6">
        <v>4676234</v>
      </c>
      <c r="D69" s="6">
        <v>0.49</v>
      </c>
      <c r="E69" s="6">
        <v>2.3973</v>
      </c>
      <c r="F69" s="6">
        <v>833471461</v>
      </c>
      <c r="G69" s="6">
        <v>321339329</v>
      </c>
    </row>
    <row r="70" spans="1:7">
      <c r="A70" s="6">
        <v>11</v>
      </c>
      <c r="B70" s="6">
        <v>9600000</v>
      </c>
      <c r="C70" s="6">
        <v>6254607</v>
      </c>
      <c r="D70" s="6">
        <v>0.65</v>
      </c>
      <c r="E70" s="6">
        <v>2.4739</v>
      </c>
      <c r="F70" s="6">
        <v>862319578</v>
      </c>
      <c r="G70" s="6">
        <v>302237751</v>
      </c>
    </row>
    <row r="71" spans="1:7">
      <c r="A71" s="6">
        <v>12</v>
      </c>
      <c r="B71" s="6">
        <v>9600000</v>
      </c>
      <c r="C71" s="6">
        <v>6380704</v>
      </c>
      <c r="D71" s="6">
        <v>0.66</v>
      </c>
      <c r="E71" s="6">
        <v>2.5167999999999999</v>
      </c>
      <c r="F71" s="6">
        <v>880941587</v>
      </c>
      <c r="G71" s="6">
        <v>280695138</v>
      </c>
    </row>
    <row r="72" spans="1:7">
      <c r="A72" s="6">
        <v>13</v>
      </c>
      <c r="B72" s="6">
        <v>9600000</v>
      </c>
      <c r="C72" s="6">
        <v>6397215</v>
      </c>
      <c r="D72" s="6">
        <v>0.67</v>
      </c>
      <c r="E72" s="6">
        <v>3.0154999999999998</v>
      </c>
      <c r="F72" s="6">
        <v>1102462821</v>
      </c>
      <c r="G72" s="6">
        <v>319344209</v>
      </c>
    </row>
    <row r="73" spans="1:7">
      <c r="A73" s="6">
        <v>14</v>
      </c>
      <c r="B73" s="6">
        <v>8287496</v>
      </c>
      <c r="C73" s="6">
        <v>7712504</v>
      </c>
      <c r="D73" s="6">
        <v>0.93</v>
      </c>
      <c r="E73" s="6">
        <v>0.99460000000000004</v>
      </c>
      <c r="F73" s="6">
        <v>169446734</v>
      </c>
      <c r="G73" s="6">
        <v>44620621</v>
      </c>
    </row>
    <row r="74" spans="1:7">
      <c r="A74" s="6">
        <v>15</v>
      </c>
      <c r="B74" s="6">
        <v>7752461</v>
      </c>
      <c r="C74" s="6">
        <v>8247539</v>
      </c>
      <c r="D74" s="6">
        <v>1.06</v>
      </c>
      <c r="E74" s="6">
        <v>1.1588000000000001</v>
      </c>
      <c r="F74" s="6">
        <v>214026196</v>
      </c>
      <c r="G74" s="6">
        <v>51236170</v>
      </c>
    </row>
    <row r="75" spans="1:7">
      <c r="A75" s="6">
        <v>16</v>
      </c>
      <c r="B75" s="6">
        <v>6415746</v>
      </c>
      <c r="C75" s="6">
        <v>9584254</v>
      </c>
      <c r="D75" s="6">
        <v>1.49</v>
      </c>
      <c r="E75" s="6">
        <v>1.1929000000000001</v>
      </c>
      <c r="F75" s="6">
        <v>178200944</v>
      </c>
      <c r="G75" s="6">
        <v>38781717</v>
      </c>
    </row>
    <row r="76" spans="1:7">
      <c r="A76" s="6">
        <v>17</v>
      </c>
      <c r="B76" s="6">
        <v>5760079</v>
      </c>
      <c r="C76" s="6">
        <v>10239921</v>
      </c>
      <c r="D76" s="6">
        <v>1.78</v>
      </c>
      <c r="E76" s="6">
        <v>1.0902000000000001</v>
      </c>
      <c r="F76" s="6">
        <v>127250967</v>
      </c>
      <c r="G76" s="6">
        <v>25175925</v>
      </c>
    </row>
    <row r="77" spans="1:7">
      <c r="A77" s="6">
        <v>18</v>
      </c>
      <c r="B77" s="6">
        <v>6027567</v>
      </c>
      <c r="C77" s="6">
        <v>9972433</v>
      </c>
      <c r="D77" s="6">
        <v>1.65</v>
      </c>
      <c r="E77" s="6">
        <v>1.1576</v>
      </c>
      <c r="F77" s="6">
        <v>154413993</v>
      </c>
      <c r="G77" s="6">
        <v>27772714</v>
      </c>
    </row>
    <row r="78" spans="1:7">
      <c r="A78" s="6">
        <v>19</v>
      </c>
      <c r="B78" s="6">
        <v>6457179</v>
      </c>
      <c r="C78" s="6">
        <v>9542821</v>
      </c>
      <c r="D78" s="6">
        <v>1.48</v>
      </c>
      <c r="E78" s="6">
        <v>1.2283999999999999</v>
      </c>
      <c r="F78" s="6">
        <v>190315428</v>
      </c>
      <c r="G78" s="6">
        <v>31118093</v>
      </c>
    </row>
    <row r="79" spans="1:7">
      <c r="A79" s="6">
        <v>20</v>
      </c>
      <c r="B79" s="6">
        <v>6329917</v>
      </c>
      <c r="C79" s="6">
        <v>9670083</v>
      </c>
      <c r="D79" s="6">
        <v>1.53</v>
      </c>
      <c r="E79" s="6">
        <v>1.2447999999999999</v>
      </c>
      <c r="F79" s="6">
        <v>190329453</v>
      </c>
      <c r="G79" s="6">
        <v>28291260</v>
      </c>
    </row>
    <row r="80" spans="1:7">
      <c r="A80" s="6">
        <v>21</v>
      </c>
      <c r="B80" s="6">
        <v>5992119</v>
      </c>
      <c r="C80" s="6">
        <v>10007881</v>
      </c>
      <c r="D80" s="6">
        <v>1.67</v>
      </c>
      <c r="E80" s="6">
        <v>1.2797000000000001</v>
      </c>
      <c r="F80" s="6">
        <v>187058572</v>
      </c>
      <c r="G80" s="6">
        <v>25277332</v>
      </c>
    </row>
    <row r="81" spans="1:7">
      <c r="A81" s="6">
        <v>22</v>
      </c>
      <c r="B81" s="6">
        <v>5436161</v>
      </c>
      <c r="C81" s="6">
        <v>10563839</v>
      </c>
      <c r="D81" s="6">
        <v>1.94</v>
      </c>
      <c r="E81" s="6">
        <v>1.2737000000000001</v>
      </c>
      <c r="F81" s="6">
        <v>163311385</v>
      </c>
      <c r="G81" s="6">
        <v>20062146</v>
      </c>
    </row>
    <row r="82" spans="1:7">
      <c r="A82" s="6">
        <v>23</v>
      </c>
      <c r="B82" s="6">
        <v>5206031</v>
      </c>
      <c r="C82" s="6">
        <v>10793969</v>
      </c>
      <c r="D82" s="6">
        <v>2.0699999999999998</v>
      </c>
      <c r="E82" s="6">
        <v>1.3355999999999999</v>
      </c>
      <c r="F82" s="6">
        <v>169095775</v>
      </c>
      <c r="G82" s="6">
        <v>18884305</v>
      </c>
    </row>
    <row r="83" spans="1:7">
      <c r="A83" s="6">
        <v>24</v>
      </c>
      <c r="B83" s="6">
        <v>4967201</v>
      </c>
      <c r="C83" s="6">
        <v>11032799</v>
      </c>
      <c r="D83" s="6">
        <v>2.2200000000000002</v>
      </c>
      <c r="E83" s="6">
        <v>1.4475</v>
      </c>
      <c r="F83" s="6">
        <v>184644868</v>
      </c>
      <c r="G83" s="6">
        <v>18746181</v>
      </c>
    </row>
    <row r="84" spans="1:7">
      <c r="A84" s="6">
        <v>25</v>
      </c>
      <c r="B84" s="6">
        <v>4770516</v>
      </c>
      <c r="C84" s="6">
        <v>11229484</v>
      </c>
      <c r="D84" s="6">
        <v>2.35</v>
      </c>
      <c r="E84" s="6">
        <v>1.5408999999999999</v>
      </c>
      <c r="F84" s="6">
        <v>195884704</v>
      </c>
      <c r="G84" s="6">
        <v>18079374</v>
      </c>
    </row>
    <row r="85" spans="1:7">
      <c r="A85" s="6">
        <v>26</v>
      </c>
      <c r="B85" s="6">
        <v>4186265</v>
      </c>
      <c r="C85" s="6">
        <v>11813735</v>
      </c>
      <c r="D85" s="6">
        <v>2.82</v>
      </c>
      <c r="E85" s="6">
        <v>1.7843</v>
      </c>
      <c r="F85" s="6">
        <v>212615361</v>
      </c>
      <c r="G85" s="6">
        <v>17839588</v>
      </c>
    </row>
    <row r="86" spans="1:7">
      <c r="A86" s="6">
        <v>27</v>
      </c>
      <c r="B86" s="6">
        <v>4784369</v>
      </c>
      <c r="C86" s="6">
        <v>11215631</v>
      </c>
      <c r="D86" s="6">
        <v>2.34</v>
      </c>
      <c r="E86" s="6">
        <v>1.9793000000000001</v>
      </c>
      <c r="F86" s="6">
        <v>293671529</v>
      </c>
      <c r="G86" s="6">
        <v>22400584</v>
      </c>
    </row>
    <row r="87" spans="1:7">
      <c r="A87" s="6">
        <v>28</v>
      </c>
      <c r="B87" s="6">
        <v>5986139</v>
      </c>
      <c r="C87" s="6">
        <v>10013861</v>
      </c>
      <c r="D87" s="6">
        <v>1.67</v>
      </c>
      <c r="E87" s="6">
        <v>1.7569999999999999</v>
      </c>
      <c r="F87" s="6">
        <v>319032021</v>
      </c>
      <c r="G87" s="6">
        <v>22122749</v>
      </c>
    </row>
    <row r="88" spans="1:7">
      <c r="A88" s="6">
        <v>29</v>
      </c>
      <c r="B88" s="6">
        <v>3678910</v>
      </c>
      <c r="C88" s="6">
        <v>5385545</v>
      </c>
      <c r="D88" s="6">
        <v>1.46</v>
      </c>
      <c r="E88" s="6">
        <v>2.5055000000000001</v>
      </c>
      <c r="F88" s="6">
        <v>326030736</v>
      </c>
      <c r="G88" s="6">
        <v>21419692</v>
      </c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0"/>
  <sheetViews>
    <sheetView workbookViewId="0">
      <selection activeCell="E26" sqref="E26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10000000</v>
      </c>
      <c r="C2" s="6">
        <v>5918017</v>
      </c>
      <c r="D2">
        <f>C2/2.5</f>
        <v>2367206.7999999998</v>
      </c>
      <c r="E2">
        <f>(D2/60)/10000</f>
        <v>3.9453446666666663</v>
      </c>
      <c r="F2">
        <f>(B2*2)/1000000</f>
        <v>20</v>
      </c>
      <c r="G2">
        <f>IFERROR(B2+C2,0)</f>
        <v>15918017</v>
      </c>
      <c r="H2">
        <f>SUM($G$2:G2)</f>
        <v>15918017</v>
      </c>
      <c r="I2">
        <f>((H2/2.5)/48)/10000</f>
        <v>13.265014166666667</v>
      </c>
      <c r="J2">
        <f>I2+F2+E2</f>
        <v>37.210358833333331</v>
      </c>
      <c r="K2">
        <f>A2*J2</f>
        <v>37.210358833333331</v>
      </c>
    </row>
    <row r="3" spans="1:11">
      <c r="A3">
        <v>2</v>
      </c>
      <c r="B3" s="6">
        <v>10000000</v>
      </c>
      <c r="C3" s="6">
        <v>5925319</v>
      </c>
      <c r="D3">
        <f t="shared" ref="D3:D30" si="0">C3/2.5</f>
        <v>2370127.6</v>
      </c>
      <c r="E3">
        <f t="shared" ref="E3:E30" si="1">(D3/60)/10000</f>
        <v>3.9502126666666673</v>
      </c>
      <c r="F3">
        <f t="shared" ref="F3:F34" si="2">(B3*2)/1000000</f>
        <v>20</v>
      </c>
      <c r="G3">
        <f>IFERROR(B3+C3,0)</f>
        <v>15925319</v>
      </c>
      <c r="H3">
        <f>SUM($G$2:G3)</f>
        <v>31843336</v>
      </c>
      <c r="I3">
        <f t="shared" ref="I3:I30" si="3">((H3/2.5)/48)/10000</f>
        <v>26.536113333333336</v>
      </c>
      <c r="J3">
        <f t="shared" ref="J3:J30" si="4">I3+F3+E3</f>
        <v>50.486325999999998</v>
      </c>
      <c r="K3">
        <f t="shared" ref="K3:K30" si="5">A3*J3</f>
        <v>100.972652</v>
      </c>
    </row>
    <row r="4" spans="1:11">
      <c r="A4">
        <v>3</v>
      </c>
      <c r="B4" s="6">
        <v>10000000</v>
      </c>
      <c r="C4" s="6">
        <v>6539740</v>
      </c>
      <c r="D4">
        <f t="shared" si="0"/>
        <v>2615896</v>
      </c>
      <c r="E4">
        <f t="shared" si="1"/>
        <v>4.3598266666666667</v>
      </c>
      <c r="F4">
        <f t="shared" si="2"/>
        <v>20</v>
      </c>
      <c r="G4">
        <f>IFERROR(B4+C4,0)</f>
        <v>16539740</v>
      </c>
      <c r="H4">
        <f>SUM($G$2:G4)</f>
        <v>48383076</v>
      </c>
      <c r="I4">
        <f t="shared" si="3"/>
        <v>40.319229999999997</v>
      </c>
      <c r="J4">
        <f t="shared" si="4"/>
        <v>64.679056666666668</v>
      </c>
      <c r="K4">
        <f t="shared" si="5"/>
        <v>194.03717</v>
      </c>
    </row>
    <row r="5" spans="1:11">
      <c r="A5">
        <v>4</v>
      </c>
      <c r="B5" s="6">
        <v>10000000</v>
      </c>
      <c r="C5" s="6">
        <v>6921927</v>
      </c>
      <c r="D5">
        <f t="shared" si="0"/>
        <v>2768770.8</v>
      </c>
      <c r="E5">
        <f t="shared" si="1"/>
        <v>4.6146180000000001</v>
      </c>
      <c r="F5">
        <f t="shared" si="2"/>
        <v>20</v>
      </c>
      <c r="G5">
        <f>IFERROR(B5+C5,0)</f>
        <v>16921927</v>
      </c>
      <c r="H5">
        <f>SUM($G$2:G5)</f>
        <v>65305003</v>
      </c>
      <c r="I5">
        <f t="shared" si="3"/>
        <v>54.420835833333328</v>
      </c>
      <c r="J5">
        <f t="shared" si="4"/>
        <v>79.035453833333321</v>
      </c>
      <c r="K5">
        <f t="shared" si="5"/>
        <v>316.14181533333328</v>
      </c>
    </row>
    <row r="6" spans="1:11">
      <c r="A6">
        <v>5</v>
      </c>
      <c r="B6" s="6">
        <v>9207125</v>
      </c>
      <c r="C6" s="6">
        <v>7792875</v>
      </c>
      <c r="D6">
        <f t="shared" si="0"/>
        <v>3117150</v>
      </c>
      <c r="E6">
        <f t="shared" si="1"/>
        <v>5.1952499999999997</v>
      </c>
      <c r="F6">
        <f t="shared" si="2"/>
        <v>18.414249999999999</v>
      </c>
      <c r="G6">
        <f>IFERROR(B6+C6,0)</f>
        <v>17000000</v>
      </c>
      <c r="H6">
        <f>SUM($G$2:G6)</f>
        <v>82305003</v>
      </c>
      <c r="I6">
        <f t="shared" si="3"/>
        <v>68.587502499999999</v>
      </c>
      <c r="J6">
        <f t="shared" si="4"/>
        <v>92.197002499999996</v>
      </c>
      <c r="K6">
        <f t="shared" si="5"/>
        <v>460.98501249999998</v>
      </c>
    </row>
    <row r="7" spans="1:11">
      <c r="A7">
        <v>6</v>
      </c>
      <c r="B7" s="6">
        <v>9630040</v>
      </c>
      <c r="C7" s="6">
        <v>7369960</v>
      </c>
      <c r="D7">
        <f t="shared" si="0"/>
        <v>2947984</v>
      </c>
      <c r="E7">
        <f t="shared" si="1"/>
        <v>4.9133066666666663</v>
      </c>
      <c r="F7">
        <f t="shared" si="2"/>
        <v>19.260079999999999</v>
      </c>
      <c r="G7">
        <f>IFERROR(B7+C7,0)</f>
        <v>17000000</v>
      </c>
      <c r="H7">
        <f>SUM($G$2:G7)</f>
        <v>99305003</v>
      </c>
      <c r="I7">
        <f t="shared" si="3"/>
        <v>82.754169166666671</v>
      </c>
      <c r="J7">
        <f t="shared" si="4"/>
        <v>106.92755583333334</v>
      </c>
      <c r="K7">
        <f t="shared" si="5"/>
        <v>641.565335</v>
      </c>
    </row>
    <row r="8" spans="1:11">
      <c r="A8">
        <v>7</v>
      </c>
      <c r="B8" s="6">
        <v>10000000</v>
      </c>
      <c r="C8" s="6">
        <v>5552884</v>
      </c>
      <c r="D8">
        <f t="shared" si="0"/>
        <v>2221153.6</v>
      </c>
      <c r="E8">
        <f t="shared" si="1"/>
        <v>3.7019226666666669</v>
      </c>
      <c r="F8">
        <f t="shared" si="2"/>
        <v>20</v>
      </c>
      <c r="G8">
        <f>IFERROR(B8+C8,0)</f>
        <v>15552884</v>
      </c>
      <c r="H8">
        <f>SUM($G$2:G8)</f>
        <v>114857887</v>
      </c>
      <c r="I8">
        <f t="shared" si="3"/>
        <v>95.714905833333319</v>
      </c>
      <c r="J8">
        <f t="shared" si="4"/>
        <v>119.41682849999998</v>
      </c>
      <c r="K8">
        <f t="shared" si="5"/>
        <v>835.91779949999989</v>
      </c>
    </row>
    <row r="9" spans="1:11">
      <c r="A9">
        <v>8</v>
      </c>
      <c r="B9" s="6">
        <v>10000000</v>
      </c>
      <c r="C9" s="6">
        <v>5024070</v>
      </c>
      <c r="D9">
        <f t="shared" si="0"/>
        <v>2009628</v>
      </c>
      <c r="E9">
        <f t="shared" si="1"/>
        <v>3.3493800000000005</v>
      </c>
      <c r="F9">
        <f t="shared" si="2"/>
        <v>20</v>
      </c>
      <c r="G9">
        <f>IFERROR(B9+C9,0)</f>
        <v>15024070</v>
      </c>
      <c r="H9">
        <f>SUM($G$2:G9)</f>
        <v>129881957</v>
      </c>
      <c r="I9">
        <f t="shared" si="3"/>
        <v>108.23496416666666</v>
      </c>
      <c r="J9">
        <f t="shared" si="4"/>
        <v>131.58434416666665</v>
      </c>
      <c r="K9">
        <f t="shared" si="5"/>
        <v>1052.6747533333332</v>
      </c>
    </row>
    <row r="10" spans="1:11">
      <c r="A10">
        <v>9</v>
      </c>
      <c r="B10" s="6">
        <v>10000000</v>
      </c>
      <c r="C10" s="6">
        <v>4890964</v>
      </c>
      <c r="D10">
        <f t="shared" si="0"/>
        <v>1956385.6</v>
      </c>
      <c r="E10">
        <f t="shared" si="1"/>
        <v>3.260642666666667</v>
      </c>
      <c r="F10">
        <f t="shared" si="2"/>
        <v>20</v>
      </c>
      <c r="G10">
        <f>IFERROR(B10+C10,0)</f>
        <v>14890964</v>
      </c>
      <c r="H10">
        <f>SUM($G$2:G10)</f>
        <v>144772921</v>
      </c>
      <c r="I10">
        <f t="shared" si="3"/>
        <v>120.64410083333333</v>
      </c>
      <c r="J10">
        <f t="shared" si="4"/>
        <v>143.90474349999997</v>
      </c>
      <c r="K10">
        <f t="shared" si="5"/>
        <v>1295.1426914999997</v>
      </c>
    </row>
    <row r="11" spans="1:11">
      <c r="A11">
        <v>10</v>
      </c>
      <c r="B11" s="6">
        <v>10000000</v>
      </c>
      <c r="C11" s="6">
        <v>6102950</v>
      </c>
      <c r="D11">
        <f t="shared" si="0"/>
        <v>2441180</v>
      </c>
      <c r="E11">
        <f t="shared" si="1"/>
        <v>4.0686333333333335</v>
      </c>
      <c r="F11">
        <f t="shared" si="2"/>
        <v>20</v>
      </c>
      <c r="G11">
        <f>IFERROR(B11+C11,0)</f>
        <v>16102950</v>
      </c>
      <c r="H11">
        <f>SUM($G$2:G11)</f>
        <v>160875871</v>
      </c>
      <c r="I11">
        <f t="shared" si="3"/>
        <v>134.06322583333332</v>
      </c>
      <c r="J11">
        <f t="shared" si="4"/>
        <v>158.13185916666666</v>
      </c>
      <c r="K11">
        <f t="shared" si="5"/>
        <v>1581.3185916666666</v>
      </c>
    </row>
    <row r="12" spans="1:11">
      <c r="A12">
        <v>11</v>
      </c>
      <c r="B12" s="6">
        <v>10000000</v>
      </c>
      <c r="C12" s="6">
        <v>4663374</v>
      </c>
      <c r="D12">
        <f t="shared" si="0"/>
        <v>1865349.6</v>
      </c>
      <c r="E12">
        <f t="shared" si="1"/>
        <v>3.1089159999999998</v>
      </c>
      <c r="F12">
        <f t="shared" si="2"/>
        <v>20</v>
      </c>
      <c r="G12">
        <f>IFERROR(B12+C12,0)</f>
        <v>14663374</v>
      </c>
      <c r="H12">
        <f>SUM($G$2:G12)</f>
        <v>175539245</v>
      </c>
      <c r="I12">
        <f t="shared" si="3"/>
        <v>146.28270416666666</v>
      </c>
      <c r="J12">
        <f t="shared" si="4"/>
        <v>169.39162016666666</v>
      </c>
      <c r="K12">
        <f t="shared" si="5"/>
        <v>1863.3078218333333</v>
      </c>
    </row>
    <row r="13" spans="1:11">
      <c r="A13">
        <v>12</v>
      </c>
      <c r="B13" s="6">
        <v>10000000</v>
      </c>
      <c r="C13" s="6">
        <v>6907308</v>
      </c>
      <c r="D13">
        <f t="shared" si="0"/>
        <v>2762923.2</v>
      </c>
      <c r="E13">
        <f t="shared" si="1"/>
        <v>4.6048720000000003</v>
      </c>
      <c r="F13">
        <f t="shared" si="2"/>
        <v>20</v>
      </c>
      <c r="G13">
        <f>IFERROR(B13+C13,0)</f>
        <v>16907308</v>
      </c>
      <c r="H13">
        <f>SUM($G$2:G13)</f>
        <v>192446553</v>
      </c>
      <c r="I13">
        <f t="shared" si="3"/>
        <v>160.3721275</v>
      </c>
      <c r="J13">
        <f t="shared" si="4"/>
        <v>184.97699950000001</v>
      </c>
      <c r="K13">
        <f t="shared" si="5"/>
        <v>2219.7239939999999</v>
      </c>
    </row>
    <row r="14" spans="1:11">
      <c r="A14">
        <v>13</v>
      </c>
      <c r="B14" s="6">
        <v>9786700</v>
      </c>
      <c r="C14" s="6">
        <v>7213300</v>
      </c>
      <c r="D14">
        <f t="shared" si="0"/>
        <v>2885320</v>
      </c>
      <c r="E14">
        <f t="shared" si="1"/>
        <v>4.8088666666666668</v>
      </c>
      <c r="F14">
        <f t="shared" si="2"/>
        <v>19.573399999999999</v>
      </c>
      <c r="G14">
        <f>IFERROR(B14+C14,0)</f>
        <v>17000000</v>
      </c>
      <c r="H14">
        <f>SUM($G$2:G14)</f>
        <v>209446553</v>
      </c>
      <c r="I14">
        <f t="shared" si="3"/>
        <v>174.53879416666666</v>
      </c>
      <c r="J14">
        <f t="shared" si="4"/>
        <v>198.92106083333331</v>
      </c>
      <c r="K14">
        <f t="shared" si="5"/>
        <v>2585.9737908333332</v>
      </c>
    </row>
    <row r="15" spans="1:11">
      <c r="A15">
        <v>14</v>
      </c>
      <c r="B15" s="6">
        <v>9149903</v>
      </c>
      <c r="C15" s="6">
        <v>7850097</v>
      </c>
      <c r="D15">
        <f t="shared" si="0"/>
        <v>3140038.8</v>
      </c>
      <c r="E15">
        <f t="shared" si="1"/>
        <v>5.2333979999999993</v>
      </c>
      <c r="F15">
        <f t="shared" si="2"/>
        <v>18.299806</v>
      </c>
      <c r="G15">
        <f>IFERROR(B15+C15,0)</f>
        <v>17000000</v>
      </c>
      <c r="H15">
        <f>SUM($G$2:G15)</f>
        <v>226446553</v>
      </c>
      <c r="I15">
        <f t="shared" si="3"/>
        <v>188.70546083333335</v>
      </c>
      <c r="J15">
        <f t="shared" si="4"/>
        <v>212.23866483333333</v>
      </c>
      <c r="K15">
        <f t="shared" si="5"/>
        <v>2971.3413076666666</v>
      </c>
    </row>
    <row r="16" spans="1:11">
      <c r="A16">
        <v>15</v>
      </c>
      <c r="B16" s="6">
        <v>7521886</v>
      </c>
      <c r="C16" s="6">
        <v>9478114</v>
      </c>
      <c r="D16">
        <f t="shared" si="0"/>
        <v>3791245.6</v>
      </c>
      <c r="E16">
        <f t="shared" si="1"/>
        <v>6.3187426666666671</v>
      </c>
      <c r="F16">
        <f t="shared" si="2"/>
        <v>15.043772000000001</v>
      </c>
      <c r="G16">
        <f>IFERROR(B16+C16,0)</f>
        <v>17000000</v>
      </c>
      <c r="H16">
        <f>SUM($G$2:G16)</f>
        <v>243446553</v>
      </c>
      <c r="I16">
        <f t="shared" si="3"/>
        <v>202.8721275</v>
      </c>
      <c r="J16">
        <f t="shared" si="4"/>
        <v>224.23464216666667</v>
      </c>
      <c r="K16">
        <f t="shared" si="5"/>
        <v>3363.5196325000002</v>
      </c>
    </row>
    <row r="17" spans="1:11">
      <c r="A17">
        <v>16</v>
      </c>
      <c r="B17" s="6">
        <v>6854169</v>
      </c>
      <c r="C17" s="6">
        <v>10145831</v>
      </c>
      <c r="D17">
        <f t="shared" si="0"/>
        <v>4058332.4</v>
      </c>
      <c r="E17">
        <f t="shared" si="1"/>
        <v>6.7638873333333338</v>
      </c>
      <c r="F17">
        <f t="shared" si="2"/>
        <v>13.708337999999999</v>
      </c>
      <c r="G17">
        <f>IFERROR(B17+C17,0)</f>
        <v>17000000</v>
      </c>
      <c r="H17">
        <f>SUM($G$2:G17)</f>
        <v>260446553</v>
      </c>
      <c r="I17">
        <f t="shared" si="3"/>
        <v>217.03879416666669</v>
      </c>
      <c r="J17">
        <f t="shared" si="4"/>
        <v>237.51101950000003</v>
      </c>
      <c r="K17">
        <f t="shared" si="5"/>
        <v>3800.1763120000005</v>
      </c>
    </row>
    <row r="18" spans="1:11">
      <c r="A18">
        <v>17</v>
      </c>
      <c r="B18" s="6">
        <v>6892743</v>
      </c>
      <c r="C18" s="6">
        <v>10107257</v>
      </c>
      <c r="D18">
        <f t="shared" si="0"/>
        <v>4042902.8</v>
      </c>
      <c r="E18">
        <f t="shared" si="1"/>
        <v>6.7381713333333337</v>
      </c>
      <c r="F18">
        <f t="shared" si="2"/>
        <v>13.785486000000001</v>
      </c>
      <c r="G18">
        <f>IFERROR(B18+C18,0)</f>
        <v>17000000</v>
      </c>
      <c r="H18">
        <f>SUM($G$2:G18)</f>
        <v>277446553</v>
      </c>
      <c r="I18">
        <f t="shared" si="3"/>
        <v>231.20546083333335</v>
      </c>
      <c r="J18">
        <f t="shared" si="4"/>
        <v>251.72911816666667</v>
      </c>
      <c r="K18">
        <f t="shared" si="5"/>
        <v>4279.3950088333331</v>
      </c>
    </row>
    <row r="19" spans="1:11">
      <c r="A19">
        <v>18</v>
      </c>
      <c r="B19" s="6">
        <v>6554295</v>
      </c>
      <c r="C19" s="6">
        <v>10445705</v>
      </c>
      <c r="D19">
        <f t="shared" si="0"/>
        <v>4178282</v>
      </c>
      <c r="E19">
        <f t="shared" si="1"/>
        <v>6.9638033333333338</v>
      </c>
      <c r="F19">
        <f t="shared" si="2"/>
        <v>13.10859</v>
      </c>
      <c r="G19">
        <f>IFERROR(B19+C19,0)</f>
        <v>17000000</v>
      </c>
      <c r="H19">
        <f>SUM($G$2:G19)</f>
        <v>294446553</v>
      </c>
      <c r="I19">
        <f t="shared" si="3"/>
        <v>245.3721275</v>
      </c>
      <c r="J19">
        <f t="shared" si="4"/>
        <v>265.44452083333334</v>
      </c>
      <c r="K19">
        <f t="shared" si="5"/>
        <v>4778.0013749999998</v>
      </c>
    </row>
    <row r="20" spans="1:11">
      <c r="A20">
        <v>19</v>
      </c>
      <c r="B20" s="6">
        <v>5908289</v>
      </c>
      <c r="C20" s="6">
        <v>11091711</v>
      </c>
      <c r="D20">
        <f t="shared" si="0"/>
        <v>4436684.4000000004</v>
      </c>
      <c r="E20">
        <f t="shared" si="1"/>
        <v>7.3944740000000007</v>
      </c>
      <c r="F20">
        <f t="shared" si="2"/>
        <v>11.816578</v>
      </c>
      <c r="G20">
        <f>IFERROR(B20+C20,0)</f>
        <v>17000000</v>
      </c>
      <c r="H20">
        <f>SUM($G$2:G20)</f>
        <v>311446553</v>
      </c>
      <c r="I20">
        <f t="shared" si="3"/>
        <v>259.53879416666666</v>
      </c>
      <c r="J20">
        <f t="shared" si="4"/>
        <v>278.74984616666666</v>
      </c>
      <c r="K20">
        <f t="shared" si="5"/>
        <v>5296.2470771666667</v>
      </c>
    </row>
    <row r="21" spans="1:11">
      <c r="A21">
        <v>20</v>
      </c>
      <c r="B21" s="6">
        <v>5303135</v>
      </c>
      <c r="C21" s="6">
        <v>11696865</v>
      </c>
      <c r="D21">
        <f t="shared" si="0"/>
        <v>4678746</v>
      </c>
      <c r="E21">
        <f t="shared" si="1"/>
        <v>7.7979100000000008</v>
      </c>
      <c r="F21">
        <f t="shared" si="2"/>
        <v>10.60627</v>
      </c>
      <c r="G21">
        <f>IFERROR(B21+C21,0)</f>
        <v>17000000</v>
      </c>
      <c r="H21">
        <f>SUM($G$2:G21)</f>
        <v>328446553</v>
      </c>
      <c r="I21">
        <f t="shared" si="3"/>
        <v>273.70546083333335</v>
      </c>
      <c r="J21">
        <f t="shared" si="4"/>
        <v>292.10964083333334</v>
      </c>
      <c r="K21">
        <f t="shared" si="5"/>
        <v>5842.1928166666667</v>
      </c>
    </row>
    <row r="22" spans="1:11">
      <c r="A22">
        <v>21</v>
      </c>
      <c r="B22" s="6">
        <v>4958785</v>
      </c>
      <c r="C22" s="6">
        <v>12041215</v>
      </c>
      <c r="D22">
        <f t="shared" si="0"/>
        <v>4816486</v>
      </c>
      <c r="E22">
        <f t="shared" si="1"/>
        <v>8.0274766666666668</v>
      </c>
      <c r="F22">
        <f t="shared" si="2"/>
        <v>9.9175699999999996</v>
      </c>
      <c r="G22">
        <f>IFERROR(B22+C22,0)</f>
        <v>17000000</v>
      </c>
      <c r="H22">
        <f>SUM($G$2:G22)</f>
        <v>345446553</v>
      </c>
      <c r="I22">
        <f t="shared" si="3"/>
        <v>287.87212749999998</v>
      </c>
      <c r="J22">
        <f t="shared" si="4"/>
        <v>305.81717416666663</v>
      </c>
      <c r="K22">
        <f t="shared" si="5"/>
        <v>6422.1606574999996</v>
      </c>
    </row>
    <row r="23" spans="1:11">
      <c r="A23">
        <v>22</v>
      </c>
      <c r="B23" s="6">
        <v>4564737</v>
      </c>
      <c r="C23" s="6">
        <v>12435263</v>
      </c>
      <c r="D23">
        <f t="shared" si="0"/>
        <v>4974105.2</v>
      </c>
      <c r="E23">
        <f t="shared" si="1"/>
        <v>8.2901753333333339</v>
      </c>
      <c r="F23">
        <f t="shared" si="2"/>
        <v>9.1294740000000001</v>
      </c>
      <c r="G23">
        <f>IFERROR(B23+C23,0)</f>
        <v>17000000</v>
      </c>
      <c r="H23">
        <f>SUM($G$2:G23)</f>
        <v>362446553</v>
      </c>
      <c r="I23">
        <f t="shared" si="3"/>
        <v>302.03879416666666</v>
      </c>
      <c r="J23">
        <f t="shared" si="4"/>
        <v>319.45844349999999</v>
      </c>
      <c r="K23">
        <f t="shared" si="5"/>
        <v>7028.0857569999998</v>
      </c>
    </row>
    <row r="24" spans="1:11">
      <c r="A24">
        <v>23</v>
      </c>
      <c r="B24" s="6">
        <v>4310056</v>
      </c>
      <c r="C24" s="6">
        <v>12689944</v>
      </c>
      <c r="D24">
        <f t="shared" si="0"/>
        <v>5075977.5999999996</v>
      </c>
      <c r="E24">
        <f t="shared" si="1"/>
        <v>8.4599626666666659</v>
      </c>
      <c r="F24">
        <f t="shared" si="2"/>
        <v>8.6201120000000007</v>
      </c>
      <c r="G24">
        <f>IFERROR(B24+C24,0)</f>
        <v>17000000</v>
      </c>
      <c r="H24">
        <f>SUM($G$2:G24)</f>
        <v>379446553</v>
      </c>
      <c r="I24">
        <f t="shared" si="3"/>
        <v>316.20546083333329</v>
      </c>
      <c r="J24">
        <f t="shared" si="4"/>
        <v>333.28553549999998</v>
      </c>
      <c r="K24">
        <f t="shared" si="5"/>
        <v>7665.5673164999998</v>
      </c>
    </row>
    <row r="25" spans="1:11">
      <c r="A25">
        <v>24</v>
      </c>
      <c r="B25" s="6">
        <v>6039744</v>
      </c>
      <c r="C25" s="6">
        <v>10960256</v>
      </c>
      <c r="D25">
        <f t="shared" si="0"/>
        <v>4384102.4000000004</v>
      </c>
      <c r="E25">
        <f t="shared" si="1"/>
        <v>7.3068373333333341</v>
      </c>
      <c r="F25">
        <f t="shared" si="2"/>
        <v>12.079488</v>
      </c>
      <c r="G25">
        <f>IFERROR(B25+C25,0)</f>
        <v>17000000</v>
      </c>
      <c r="H25">
        <f>SUM($G$2:G25)</f>
        <v>396446553</v>
      </c>
      <c r="I25">
        <f t="shared" si="3"/>
        <v>330.37212749999998</v>
      </c>
      <c r="J25">
        <f t="shared" si="4"/>
        <v>349.75845283333331</v>
      </c>
      <c r="K25">
        <f t="shared" si="5"/>
        <v>8394.2028680000003</v>
      </c>
    </row>
    <row r="26" spans="1:11">
      <c r="A26">
        <v>25</v>
      </c>
      <c r="B26" s="6">
        <v>5187192</v>
      </c>
      <c r="C26" s="6">
        <v>7820335</v>
      </c>
      <c r="D26">
        <f t="shared" si="0"/>
        <v>3128134</v>
      </c>
      <c r="E26">
        <f t="shared" si="1"/>
        <v>5.2135566666666664</v>
      </c>
      <c r="F26">
        <f t="shared" si="2"/>
        <v>10.374383999999999</v>
      </c>
      <c r="G26">
        <f>IFERROR(B26+C26,0)</f>
        <v>13007527</v>
      </c>
      <c r="H26">
        <f>SUM($G$2:G26)</f>
        <v>409454080</v>
      </c>
      <c r="I26">
        <f t="shared" si="3"/>
        <v>341.21173333333337</v>
      </c>
      <c r="J26">
        <f t="shared" si="4"/>
        <v>356.79967400000004</v>
      </c>
      <c r="K26">
        <f t="shared" si="5"/>
        <v>8919.9918500000003</v>
      </c>
    </row>
    <row r="27" spans="1:11">
      <c r="B27" s="6"/>
      <c r="C27" s="6"/>
    </row>
    <row r="28" spans="1:11">
      <c r="B28" s="6"/>
      <c r="C28" s="6"/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207585281</v>
      </c>
    </row>
    <row r="37" spans="1:10">
      <c r="H37" s="14" t="s">
        <v>37</v>
      </c>
      <c r="I37" t="s">
        <v>2</v>
      </c>
      <c r="J37" s="15">
        <f>MAX(K2:K33)</f>
        <v>8919.9918500000003</v>
      </c>
    </row>
    <row r="38" spans="1:10">
      <c r="I38" t="s">
        <v>3</v>
      </c>
      <c r="J38" s="15">
        <f>MAX(J2:J33)</f>
        <v>356.79967400000004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>
        <v>1</v>
      </c>
      <c r="B60" s="6">
        <v>10000000</v>
      </c>
      <c r="C60" s="6">
        <v>5918017</v>
      </c>
      <c r="D60" s="6">
        <v>0.59</v>
      </c>
      <c r="E60" s="6">
        <v>2.3138000000000001</v>
      </c>
      <c r="F60" s="6">
        <v>826114543</v>
      </c>
      <c r="G60" s="6">
        <v>751013221</v>
      </c>
    </row>
    <row r="61" spans="1:9">
      <c r="A61" s="6">
        <v>2</v>
      </c>
      <c r="B61" s="6">
        <v>10000000</v>
      </c>
      <c r="C61" s="6">
        <v>5925319</v>
      </c>
      <c r="D61" s="6">
        <v>0.59</v>
      </c>
      <c r="E61" s="6">
        <v>1.7237</v>
      </c>
      <c r="F61" s="6">
        <v>552996801</v>
      </c>
      <c r="G61" s="6">
        <v>457022149</v>
      </c>
    </row>
    <row r="62" spans="1:9">
      <c r="A62" s="6">
        <v>3</v>
      </c>
      <c r="B62" s="6">
        <v>10000000</v>
      </c>
      <c r="C62" s="6">
        <v>6539740</v>
      </c>
      <c r="D62" s="6">
        <v>0.65</v>
      </c>
      <c r="E62" s="6">
        <v>2.1175000000000002</v>
      </c>
      <c r="F62" s="6">
        <v>733213079</v>
      </c>
      <c r="G62" s="6">
        <v>550873839</v>
      </c>
    </row>
    <row r="63" spans="1:9">
      <c r="A63" s="6">
        <v>4</v>
      </c>
      <c r="B63" s="6">
        <v>10000000</v>
      </c>
      <c r="C63" s="6">
        <v>6921927</v>
      </c>
      <c r="D63" s="6">
        <v>0.69</v>
      </c>
      <c r="E63" s="6">
        <v>2.4660000000000002</v>
      </c>
      <c r="F63" s="6">
        <v>893269960</v>
      </c>
      <c r="G63" s="6">
        <v>610115402</v>
      </c>
    </row>
    <row r="64" spans="1:9">
      <c r="A64" s="6">
        <v>5</v>
      </c>
      <c r="B64" s="6">
        <v>9207125</v>
      </c>
      <c r="C64" s="6">
        <v>7792875</v>
      </c>
      <c r="D64" s="6">
        <v>0.85</v>
      </c>
      <c r="E64" s="6">
        <v>2.4994000000000001</v>
      </c>
      <c r="F64" s="6">
        <v>831988183</v>
      </c>
      <c r="G64" s="6">
        <v>516599203</v>
      </c>
    </row>
    <row r="65" spans="1:7">
      <c r="A65" s="6">
        <v>6</v>
      </c>
      <c r="B65" s="6">
        <v>9630040</v>
      </c>
      <c r="C65" s="6">
        <v>7369960</v>
      </c>
      <c r="D65" s="6">
        <v>0.77</v>
      </c>
      <c r="E65" s="6">
        <v>2.4769999999999999</v>
      </c>
      <c r="F65" s="6">
        <v>862791441</v>
      </c>
      <c r="G65" s="6">
        <v>487023275</v>
      </c>
    </row>
    <row r="66" spans="1:7">
      <c r="A66" s="6">
        <v>7</v>
      </c>
      <c r="B66" s="6">
        <v>10000000</v>
      </c>
      <c r="C66" s="6">
        <v>5552884</v>
      </c>
      <c r="D66" s="6">
        <v>0.56000000000000005</v>
      </c>
      <c r="E66" s="6">
        <v>2.4079000000000002</v>
      </c>
      <c r="F66" s="6">
        <v>870870866</v>
      </c>
      <c r="G66" s="6">
        <v>446894455</v>
      </c>
    </row>
    <row r="67" spans="1:7">
      <c r="A67" s="6">
        <v>8</v>
      </c>
      <c r="B67" s="6">
        <v>10000000</v>
      </c>
      <c r="C67" s="6">
        <v>5024070</v>
      </c>
      <c r="D67" s="6">
        <v>0.5</v>
      </c>
      <c r="E67" s="6">
        <v>2.3496999999999999</v>
      </c>
      <c r="F67" s="6">
        <v>845657945</v>
      </c>
      <c r="G67" s="6">
        <v>394505673</v>
      </c>
    </row>
    <row r="68" spans="1:7">
      <c r="A68" s="6">
        <v>9</v>
      </c>
      <c r="B68" s="6">
        <v>10000000</v>
      </c>
      <c r="C68" s="6">
        <v>4890964</v>
      </c>
      <c r="D68" s="6">
        <v>0.49</v>
      </c>
      <c r="E68" s="6">
        <v>2.3586999999999998</v>
      </c>
      <c r="F68" s="6">
        <v>850257028</v>
      </c>
      <c r="G68" s="6">
        <v>360591981</v>
      </c>
    </row>
    <row r="69" spans="1:7">
      <c r="A69" s="6">
        <v>10</v>
      </c>
      <c r="B69" s="6">
        <v>10000000</v>
      </c>
      <c r="C69" s="6">
        <v>6102950</v>
      </c>
      <c r="D69" s="6">
        <v>0.61</v>
      </c>
      <c r="E69" s="6">
        <v>2.4257</v>
      </c>
      <c r="F69" s="6">
        <v>877277584</v>
      </c>
      <c r="G69" s="6">
        <v>338228486</v>
      </c>
    </row>
    <row r="70" spans="1:7">
      <c r="A70" s="6">
        <v>11</v>
      </c>
      <c r="B70" s="6">
        <v>10000000</v>
      </c>
      <c r="C70" s="6">
        <v>4663374</v>
      </c>
      <c r="D70" s="6">
        <v>0.47</v>
      </c>
      <c r="E70" s="6">
        <v>2.5246</v>
      </c>
      <c r="F70" s="6">
        <v>927765215</v>
      </c>
      <c r="G70" s="6">
        <v>325176048</v>
      </c>
    </row>
    <row r="71" spans="1:7">
      <c r="A71" s="6">
        <v>12</v>
      </c>
      <c r="B71" s="6">
        <v>10000000</v>
      </c>
      <c r="C71" s="6">
        <v>6907308</v>
      </c>
      <c r="D71" s="6">
        <v>0.69</v>
      </c>
      <c r="E71" s="6">
        <v>2.968</v>
      </c>
      <c r="F71" s="6">
        <v>1125600680</v>
      </c>
      <c r="G71" s="6">
        <v>358651065</v>
      </c>
    </row>
    <row r="72" spans="1:7">
      <c r="A72" s="6">
        <v>13</v>
      </c>
      <c r="B72" s="6">
        <v>9786700</v>
      </c>
      <c r="C72" s="6">
        <v>7213300</v>
      </c>
      <c r="D72" s="6">
        <v>0.74</v>
      </c>
      <c r="E72" s="6">
        <v>1.7516</v>
      </c>
      <c r="F72" s="6">
        <v>549196510</v>
      </c>
      <c r="G72" s="6">
        <v>159082666</v>
      </c>
    </row>
    <row r="73" spans="1:7">
      <c r="A73" s="6">
        <v>14</v>
      </c>
      <c r="B73" s="6">
        <v>9149903</v>
      </c>
      <c r="C73" s="6">
        <v>7850097</v>
      </c>
      <c r="D73" s="6">
        <v>0.86</v>
      </c>
      <c r="E73" s="6">
        <v>1.1882999999999999</v>
      </c>
      <c r="F73" s="6">
        <v>271293106</v>
      </c>
      <c r="G73" s="6">
        <v>71439954</v>
      </c>
    </row>
    <row r="74" spans="1:7">
      <c r="A74" s="6">
        <v>15</v>
      </c>
      <c r="B74" s="6">
        <v>7521886</v>
      </c>
      <c r="C74" s="6">
        <v>9478114</v>
      </c>
      <c r="D74" s="6">
        <v>1.26</v>
      </c>
      <c r="E74" s="6">
        <v>1.1889000000000001</v>
      </c>
      <c r="F74" s="6">
        <v>213305902</v>
      </c>
      <c r="G74" s="6">
        <v>51063737</v>
      </c>
    </row>
    <row r="75" spans="1:7">
      <c r="A75" s="6">
        <v>16</v>
      </c>
      <c r="B75" s="6">
        <v>6854169</v>
      </c>
      <c r="C75" s="6">
        <v>10145831</v>
      </c>
      <c r="D75" s="6">
        <v>1.48</v>
      </c>
      <c r="E75" s="6">
        <v>1.1651</v>
      </c>
      <c r="F75" s="6">
        <v>181865230</v>
      </c>
      <c r="G75" s="6">
        <v>39579173</v>
      </c>
    </row>
    <row r="76" spans="1:7">
      <c r="A76" s="6">
        <v>17</v>
      </c>
      <c r="B76" s="6">
        <v>6892743</v>
      </c>
      <c r="C76" s="6">
        <v>10107257</v>
      </c>
      <c r="D76" s="6">
        <v>1.47</v>
      </c>
      <c r="E76" s="6">
        <v>1.2645999999999999</v>
      </c>
      <c r="F76" s="6">
        <v>214943827</v>
      </c>
      <c r="G76" s="6">
        <v>42525490</v>
      </c>
    </row>
    <row r="77" spans="1:7">
      <c r="A77" s="6">
        <v>18</v>
      </c>
      <c r="B77" s="6">
        <v>6554295</v>
      </c>
      <c r="C77" s="6">
        <v>10445705</v>
      </c>
      <c r="D77" s="6">
        <v>1.59</v>
      </c>
      <c r="E77" s="6">
        <v>1.3023</v>
      </c>
      <c r="F77" s="6">
        <v>213098662</v>
      </c>
      <c r="G77" s="6">
        <v>38327667</v>
      </c>
    </row>
    <row r="78" spans="1:7">
      <c r="A78" s="6">
        <v>19</v>
      </c>
      <c r="B78" s="6">
        <v>5908289</v>
      </c>
      <c r="C78" s="6">
        <v>11091711</v>
      </c>
      <c r="D78" s="6">
        <v>1.88</v>
      </c>
      <c r="E78" s="6">
        <v>1.3445</v>
      </c>
      <c r="F78" s="6">
        <v>198136847</v>
      </c>
      <c r="G78" s="6">
        <v>32396958</v>
      </c>
    </row>
    <row r="79" spans="1:7">
      <c r="A79" s="6">
        <v>20</v>
      </c>
      <c r="B79" s="6">
        <v>5303135</v>
      </c>
      <c r="C79" s="6">
        <v>11696865</v>
      </c>
      <c r="D79" s="6">
        <v>2.21</v>
      </c>
      <c r="E79" s="6">
        <v>1.3608</v>
      </c>
      <c r="F79" s="6">
        <v>176135332</v>
      </c>
      <c r="G79" s="6">
        <v>26181395</v>
      </c>
    </row>
    <row r="80" spans="1:7">
      <c r="A80" s="6">
        <v>21</v>
      </c>
      <c r="B80" s="6">
        <v>4958785</v>
      </c>
      <c r="C80" s="6">
        <v>12041215</v>
      </c>
      <c r="D80" s="6">
        <v>2.4300000000000002</v>
      </c>
      <c r="E80" s="6">
        <v>1.5035000000000001</v>
      </c>
      <c r="F80" s="6">
        <v>193827090</v>
      </c>
      <c r="G80" s="6">
        <v>26191965</v>
      </c>
    </row>
    <row r="81" spans="1:7">
      <c r="A81" s="6">
        <v>22</v>
      </c>
      <c r="B81" s="6">
        <v>4564737</v>
      </c>
      <c r="C81" s="6">
        <v>12435263</v>
      </c>
      <c r="D81" s="6">
        <v>2.72</v>
      </c>
      <c r="E81" s="6">
        <v>1.6678999999999999</v>
      </c>
      <c r="F81" s="6">
        <v>208720063</v>
      </c>
      <c r="G81" s="6">
        <v>25640419</v>
      </c>
    </row>
    <row r="82" spans="1:7">
      <c r="A82" s="6">
        <v>23</v>
      </c>
      <c r="B82" s="6">
        <v>4310056</v>
      </c>
      <c r="C82" s="6">
        <v>12689944</v>
      </c>
      <c r="D82" s="6">
        <v>2.94</v>
      </c>
      <c r="E82" s="6">
        <v>1.9574</v>
      </c>
      <c r="F82" s="6">
        <v>251705855</v>
      </c>
      <c r="G82" s="6">
        <v>28110046</v>
      </c>
    </row>
    <row r="83" spans="1:7">
      <c r="A83" s="6">
        <v>24</v>
      </c>
      <c r="B83" s="6">
        <v>6039744</v>
      </c>
      <c r="C83" s="6">
        <v>10960256</v>
      </c>
      <c r="D83" s="6">
        <v>1.81</v>
      </c>
      <c r="E83" s="6">
        <v>1.855</v>
      </c>
      <c r="F83" s="6">
        <v>346489933</v>
      </c>
      <c r="G83" s="6">
        <v>35177598</v>
      </c>
    </row>
    <row r="84" spans="1:7">
      <c r="A84" s="6">
        <v>25</v>
      </c>
      <c r="B84" s="6">
        <v>5187192</v>
      </c>
      <c r="C84" s="6">
        <v>7820335</v>
      </c>
      <c r="D84" s="6">
        <v>1.51</v>
      </c>
      <c r="E84" s="6">
        <v>2.3506</v>
      </c>
      <c r="F84" s="6">
        <v>421773141</v>
      </c>
      <c r="G84" s="6">
        <v>39809151</v>
      </c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0"/>
  <sheetViews>
    <sheetView workbookViewId="0">
      <selection activeCell="E33" sqref="E33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9000000</v>
      </c>
      <c r="C2" s="6">
        <v>5281971</v>
      </c>
      <c r="D2">
        <f>C2/2.5</f>
        <v>2112788.4</v>
      </c>
      <c r="E2">
        <f>(D2/60)/10000</f>
        <v>3.5213139999999998</v>
      </c>
      <c r="F2">
        <f>(B2*2)/1000000</f>
        <v>18</v>
      </c>
      <c r="G2">
        <f>IFERROR(B2+C2,0)</f>
        <v>14281971</v>
      </c>
      <c r="H2">
        <f>SUM($G$2:G2)</f>
        <v>14281971</v>
      </c>
      <c r="I2">
        <f>((H2/2.5)/48)/10000</f>
        <v>11.901642499999999</v>
      </c>
      <c r="J2">
        <f>I2+F2+E2</f>
        <v>33.422956499999998</v>
      </c>
      <c r="K2">
        <f>A2*J2</f>
        <v>33.422956499999998</v>
      </c>
    </row>
    <row r="3" spans="1:11">
      <c r="A3">
        <v>2</v>
      </c>
      <c r="B3" s="6">
        <v>9000000</v>
      </c>
      <c r="C3" s="6">
        <v>5348460</v>
      </c>
      <c r="D3">
        <f t="shared" ref="D3:D28" si="0">C3/2.5</f>
        <v>2139384</v>
      </c>
      <c r="E3">
        <f t="shared" ref="E3:E28" si="1">(D3/60)/10000</f>
        <v>3.5656400000000001</v>
      </c>
      <c r="F3">
        <f t="shared" ref="F3:F34" si="2">(B3*2)/1000000</f>
        <v>18</v>
      </c>
      <c r="G3">
        <f>IFERROR(B3+C3,0)</f>
        <v>14348460</v>
      </c>
      <c r="H3">
        <f>SUM($G$2:G3)</f>
        <v>28630431</v>
      </c>
      <c r="I3">
        <f t="shared" ref="I3:I28" si="3">((H3/2.5)/48)/10000</f>
        <v>23.8586925</v>
      </c>
      <c r="J3">
        <f t="shared" ref="J3:J26" si="4">I3+F3+E3</f>
        <v>45.424332500000006</v>
      </c>
      <c r="K3">
        <f t="shared" ref="K3:K26" si="5">A3*J3</f>
        <v>90.848665000000011</v>
      </c>
    </row>
    <row r="4" spans="1:11">
      <c r="A4">
        <v>3</v>
      </c>
      <c r="B4" s="6">
        <v>9000000</v>
      </c>
      <c r="C4" s="6">
        <v>5642411</v>
      </c>
      <c r="D4">
        <f t="shared" si="0"/>
        <v>2256964.4</v>
      </c>
      <c r="E4">
        <f t="shared" si="1"/>
        <v>3.7616073333333335</v>
      </c>
      <c r="F4">
        <f t="shared" si="2"/>
        <v>18</v>
      </c>
      <c r="G4">
        <f>IFERROR(B4+C4,0)</f>
        <v>14642411</v>
      </c>
      <c r="H4">
        <f>SUM($G$2:G4)</f>
        <v>43272842</v>
      </c>
      <c r="I4">
        <f t="shared" si="3"/>
        <v>36.060701666666667</v>
      </c>
      <c r="J4">
        <f t="shared" si="4"/>
        <v>57.822308999999997</v>
      </c>
      <c r="K4">
        <f t="shared" si="5"/>
        <v>173.466927</v>
      </c>
    </row>
    <row r="5" spans="1:11">
      <c r="A5">
        <v>4</v>
      </c>
      <c r="B5" s="6">
        <v>9000000</v>
      </c>
      <c r="C5" s="6">
        <v>6225142</v>
      </c>
      <c r="D5">
        <f t="shared" si="0"/>
        <v>2490056.7999999998</v>
      </c>
      <c r="E5">
        <f t="shared" si="1"/>
        <v>4.150094666666666</v>
      </c>
      <c r="F5">
        <f t="shared" si="2"/>
        <v>18</v>
      </c>
      <c r="G5">
        <f>IFERROR(B5+C5,0)</f>
        <v>15225142</v>
      </c>
      <c r="H5">
        <f>SUM($G$2:G5)</f>
        <v>58497984</v>
      </c>
      <c r="I5">
        <f t="shared" si="3"/>
        <v>48.74832</v>
      </c>
      <c r="J5">
        <f t="shared" si="4"/>
        <v>70.898414666666667</v>
      </c>
      <c r="K5">
        <f t="shared" si="5"/>
        <v>283.59365866666667</v>
      </c>
    </row>
    <row r="6" spans="1:11">
      <c r="A6">
        <v>5</v>
      </c>
      <c r="B6" s="6">
        <v>9000000</v>
      </c>
      <c r="C6" s="6">
        <v>6932538</v>
      </c>
      <c r="D6">
        <f t="shared" si="0"/>
        <v>2773015.2</v>
      </c>
      <c r="E6">
        <f t="shared" si="1"/>
        <v>4.6216920000000004</v>
      </c>
      <c r="F6">
        <f t="shared" si="2"/>
        <v>18</v>
      </c>
      <c r="G6">
        <f>IFERROR(B6+C6,0)</f>
        <v>15932538</v>
      </c>
      <c r="H6">
        <f>SUM($G$2:G6)</f>
        <v>74430522</v>
      </c>
      <c r="I6">
        <f t="shared" si="3"/>
        <v>62.025434999999995</v>
      </c>
      <c r="J6">
        <f t="shared" si="4"/>
        <v>84.647126999999983</v>
      </c>
      <c r="K6">
        <f t="shared" si="5"/>
        <v>423.23563499999989</v>
      </c>
    </row>
    <row r="7" spans="1:11">
      <c r="A7">
        <v>6</v>
      </c>
      <c r="B7" s="6">
        <v>9000000</v>
      </c>
      <c r="C7" s="6">
        <v>7844416</v>
      </c>
      <c r="D7">
        <f t="shared" si="0"/>
        <v>3137766.4</v>
      </c>
      <c r="E7">
        <f t="shared" si="1"/>
        <v>5.2296106666666669</v>
      </c>
      <c r="F7">
        <f t="shared" si="2"/>
        <v>18</v>
      </c>
      <c r="G7">
        <f>IFERROR(B7+C7,0)</f>
        <v>16844416</v>
      </c>
      <c r="H7">
        <f>SUM($G$2:G7)</f>
        <v>91274938</v>
      </c>
      <c r="I7">
        <f t="shared" si="3"/>
        <v>76.062448333333336</v>
      </c>
      <c r="J7">
        <f t="shared" si="4"/>
        <v>99.292059000000009</v>
      </c>
      <c r="K7">
        <f t="shared" si="5"/>
        <v>595.75235400000008</v>
      </c>
    </row>
    <row r="8" spans="1:11">
      <c r="A8">
        <v>7</v>
      </c>
      <c r="B8" s="6">
        <v>9000000</v>
      </c>
      <c r="C8" s="6">
        <v>5777267</v>
      </c>
      <c r="D8">
        <f t="shared" si="0"/>
        <v>2310906.7999999998</v>
      </c>
      <c r="E8">
        <f t="shared" si="1"/>
        <v>3.8515113333333328</v>
      </c>
      <c r="F8">
        <f t="shared" si="2"/>
        <v>18</v>
      </c>
      <c r="G8">
        <f>IFERROR(B8+C8,0)</f>
        <v>14777267</v>
      </c>
      <c r="H8">
        <f>SUM($G$2:G8)</f>
        <v>106052205</v>
      </c>
      <c r="I8">
        <f t="shared" si="3"/>
        <v>88.376837499999993</v>
      </c>
      <c r="J8">
        <f t="shared" si="4"/>
        <v>110.22834883333333</v>
      </c>
      <c r="K8">
        <f t="shared" si="5"/>
        <v>771.59844183333325</v>
      </c>
    </row>
    <row r="9" spans="1:11">
      <c r="A9">
        <v>8</v>
      </c>
      <c r="B9" s="6">
        <v>9000000</v>
      </c>
      <c r="C9" s="6">
        <v>4502257</v>
      </c>
      <c r="D9">
        <f t="shared" si="0"/>
        <v>1800902.8</v>
      </c>
      <c r="E9">
        <f t="shared" si="1"/>
        <v>3.0015046666666669</v>
      </c>
      <c r="F9">
        <f t="shared" si="2"/>
        <v>18</v>
      </c>
      <c r="G9">
        <f>IFERROR(B9+C9,0)</f>
        <v>13502257</v>
      </c>
      <c r="H9">
        <f>SUM($G$2:G9)</f>
        <v>119554462</v>
      </c>
      <c r="I9">
        <f t="shared" si="3"/>
        <v>99.628718333333325</v>
      </c>
      <c r="J9">
        <f t="shared" si="4"/>
        <v>120.63022299999999</v>
      </c>
      <c r="K9">
        <f t="shared" si="5"/>
        <v>965.04178399999989</v>
      </c>
    </row>
    <row r="10" spans="1:11">
      <c r="A10">
        <v>9</v>
      </c>
      <c r="B10" s="6">
        <v>9000000</v>
      </c>
      <c r="C10" s="6">
        <v>4546727</v>
      </c>
      <c r="D10">
        <f t="shared" si="0"/>
        <v>1818690.8</v>
      </c>
      <c r="E10">
        <f t="shared" si="1"/>
        <v>3.0311513333333333</v>
      </c>
      <c r="F10">
        <f t="shared" si="2"/>
        <v>18</v>
      </c>
      <c r="G10">
        <f>IFERROR(B10+C10,0)</f>
        <v>13546727</v>
      </c>
      <c r="H10">
        <f>SUM($G$2:G10)</f>
        <v>133101189</v>
      </c>
      <c r="I10">
        <f t="shared" si="3"/>
        <v>110.91765749999999</v>
      </c>
      <c r="J10">
        <f t="shared" si="4"/>
        <v>131.94880883333332</v>
      </c>
      <c r="K10">
        <f t="shared" si="5"/>
        <v>1187.5392794999998</v>
      </c>
    </row>
    <row r="11" spans="1:11">
      <c r="A11">
        <v>10</v>
      </c>
      <c r="B11" s="6">
        <v>9000000</v>
      </c>
      <c r="C11" s="6">
        <v>4386245</v>
      </c>
      <c r="D11">
        <f t="shared" si="0"/>
        <v>1754498</v>
      </c>
      <c r="E11">
        <f t="shared" si="1"/>
        <v>2.9241633333333334</v>
      </c>
      <c r="F11">
        <f t="shared" si="2"/>
        <v>18</v>
      </c>
      <c r="G11">
        <f>IFERROR(B11+C11,0)</f>
        <v>13386245</v>
      </c>
      <c r="H11">
        <f>SUM($G$2:G11)</f>
        <v>146487434</v>
      </c>
      <c r="I11">
        <f t="shared" si="3"/>
        <v>122.07286166666667</v>
      </c>
      <c r="J11">
        <f t="shared" si="4"/>
        <v>142.99702499999998</v>
      </c>
      <c r="K11">
        <f t="shared" si="5"/>
        <v>1429.9702499999999</v>
      </c>
    </row>
    <row r="12" spans="1:11">
      <c r="A12">
        <v>11</v>
      </c>
      <c r="B12" s="6">
        <v>9000000</v>
      </c>
      <c r="C12" s="6">
        <v>4340490</v>
      </c>
      <c r="D12">
        <f t="shared" si="0"/>
        <v>1736196</v>
      </c>
      <c r="E12">
        <f t="shared" si="1"/>
        <v>2.8936599999999997</v>
      </c>
      <c r="F12">
        <f t="shared" si="2"/>
        <v>18</v>
      </c>
      <c r="G12">
        <f>IFERROR(B12+C12,0)</f>
        <v>13340490</v>
      </c>
      <c r="H12">
        <f>SUM($G$2:G12)</f>
        <v>159827924</v>
      </c>
      <c r="I12">
        <f t="shared" si="3"/>
        <v>133.18993666666668</v>
      </c>
      <c r="J12">
        <f t="shared" si="4"/>
        <v>154.08359666666669</v>
      </c>
      <c r="K12">
        <f t="shared" si="5"/>
        <v>1694.9195633333336</v>
      </c>
    </row>
    <row r="13" spans="1:11">
      <c r="A13">
        <v>12</v>
      </c>
      <c r="B13" s="6">
        <v>9000000</v>
      </c>
      <c r="C13" s="6">
        <v>4238447</v>
      </c>
      <c r="D13">
        <f t="shared" si="0"/>
        <v>1695378.8</v>
      </c>
      <c r="E13">
        <f t="shared" si="1"/>
        <v>2.8256313333333334</v>
      </c>
      <c r="F13">
        <f t="shared" si="2"/>
        <v>18</v>
      </c>
      <c r="G13">
        <f>IFERROR(B13+C13,0)</f>
        <v>13238447</v>
      </c>
      <c r="H13">
        <f>SUM($G$2:G13)</f>
        <v>173066371</v>
      </c>
      <c r="I13">
        <f t="shared" si="3"/>
        <v>144.22197583333335</v>
      </c>
      <c r="J13">
        <f t="shared" si="4"/>
        <v>165.04760716666667</v>
      </c>
      <c r="K13">
        <f t="shared" si="5"/>
        <v>1980.5712859999999</v>
      </c>
    </row>
    <row r="14" spans="1:11">
      <c r="A14">
        <v>13</v>
      </c>
      <c r="B14" s="6">
        <v>9000000</v>
      </c>
      <c r="C14" s="6">
        <v>5663519</v>
      </c>
      <c r="D14">
        <f t="shared" si="0"/>
        <v>2265407.6</v>
      </c>
      <c r="E14">
        <f t="shared" si="1"/>
        <v>3.7756793333333336</v>
      </c>
      <c r="F14">
        <f t="shared" si="2"/>
        <v>18</v>
      </c>
      <c r="G14">
        <f>IFERROR(B14+C14,0)</f>
        <v>14663519</v>
      </c>
      <c r="H14">
        <f>SUM($G$2:G14)</f>
        <v>187729890</v>
      </c>
      <c r="I14">
        <f t="shared" si="3"/>
        <v>156.441575</v>
      </c>
      <c r="J14">
        <f t="shared" si="4"/>
        <v>178.21725433333333</v>
      </c>
      <c r="K14">
        <f t="shared" si="5"/>
        <v>2316.8243063333334</v>
      </c>
    </row>
    <row r="15" spans="1:11">
      <c r="A15">
        <v>14</v>
      </c>
      <c r="B15" s="6">
        <v>9000000</v>
      </c>
      <c r="C15" s="6">
        <v>8934982</v>
      </c>
      <c r="D15">
        <f t="shared" si="0"/>
        <v>3573992.8</v>
      </c>
      <c r="E15">
        <f t="shared" si="1"/>
        <v>5.9566546666666662</v>
      </c>
      <c r="F15">
        <f t="shared" si="2"/>
        <v>18</v>
      </c>
      <c r="G15">
        <f>IFERROR(B15+C15,0)</f>
        <v>17934982</v>
      </c>
      <c r="H15">
        <f>SUM($G$2:G15)</f>
        <v>205664872</v>
      </c>
      <c r="I15">
        <f t="shared" si="3"/>
        <v>171.38739333333334</v>
      </c>
      <c r="J15">
        <f t="shared" si="4"/>
        <v>195.34404800000002</v>
      </c>
      <c r="K15">
        <f t="shared" si="5"/>
        <v>2734.8166720000004</v>
      </c>
    </row>
    <row r="16" spans="1:11">
      <c r="A16">
        <v>15</v>
      </c>
      <c r="B16" s="6">
        <v>9000000</v>
      </c>
      <c r="C16" s="6">
        <v>8678077</v>
      </c>
      <c r="D16">
        <f t="shared" si="0"/>
        <v>3471230.8</v>
      </c>
      <c r="E16">
        <f t="shared" si="1"/>
        <v>5.7853846666666664</v>
      </c>
      <c r="F16">
        <f t="shared" si="2"/>
        <v>18</v>
      </c>
      <c r="G16">
        <f>IFERROR(B16+C16,0)</f>
        <v>17678077</v>
      </c>
      <c r="H16">
        <f>SUM($G$2:G16)</f>
        <v>223342949</v>
      </c>
      <c r="I16">
        <f t="shared" si="3"/>
        <v>186.11912416666664</v>
      </c>
      <c r="J16">
        <f t="shared" si="4"/>
        <v>209.9045088333333</v>
      </c>
      <c r="K16">
        <f t="shared" si="5"/>
        <v>3148.5676324999995</v>
      </c>
    </row>
    <row r="17" spans="1:11">
      <c r="A17">
        <v>16</v>
      </c>
      <c r="B17" s="6">
        <v>7693297</v>
      </c>
      <c r="C17" s="6">
        <v>10306703</v>
      </c>
      <c r="D17">
        <f t="shared" si="0"/>
        <v>4122681.2</v>
      </c>
      <c r="E17">
        <f t="shared" si="1"/>
        <v>6.8711353333333332</v>
      </c>
      <c r="F17">
        <f t="shared" si="2"/>
        <v>15.386594000000001</v>
      </c>
      <c r="G17">
        <f>IFERROR(B17+C17,0)</f>
        <v>18000000</v>
      </c>
      <c r="H17">
        <f>SUM($G$2:G17)</f>
        <v>241342949</v>
      </c>
      <c r="I17">
        <f t="shared" si="3"/>
        <v>201.11912416666664</v>
      </c>
      <c r="J17">
        <f t="shared" si="4"/>
        <v>223.37685349999998</v>
      </c>
      <c r="K17">
        <f t="shared" si="5"/>
        <v>3574.0296559999997</v>
      </c>
    </row>
    <row r="18" spans="1:11">
      <c r="A18">
        <v>17</v>
      </c>
      <c r="B18" s="6">
        <v>6658049</v>
      </c>
      <c r="C18" s="6">
        <v>11341951</v>
      </c>
      <c r="D18">
        <f t="shared" si="0"/>
        <v>4536780.4000000004</v>
      </c>
      <c r="E18">
        <f t="shared" si="1"/>
        <v>7.5613006666666669</v>
      </c>
      <c r="F18">
        <f t="shared" si="2"/>
        <v>13.316098</v>
      </c>
      <c r="G18">
        <f>IFERROR(B18+C18,0)</f>
        <v>18000000</v>
      </c>
      <c r="H18">
        <f>SUM($G$2:G18)</f>
        <v>259342949</v>
      </c>
      <c r="I18">
        <f t="shared" si="3"/>
        <v>216.11912416666667</v>
      </c>
      <c r="J18">
        <f t="shared" si="4"/>
        <v>236.99652283333333</v>
      </c>
      <c r="K18">
        <f t="shared" si="5"/>
        <v>4028.9408881666668</v>
      </c>
    </row>
    <row r="19" spans="1:11">
      <c r="A19">
        <v>18</v>
      </c>
      <c r="B19" s="6">
        <v>6911189</v>
      </c>
      <c r="C19" s="6">
        <v>11088811</v>
      </c>
      <c r="D19">
        <f t="shared" si="0"/>
        <v>4435524.4000000004</v>
      </c>
      <c r="E19">
        <f t="shared" si="1"/>
        <v>7.392540666666668</v>
      </c>
      <c r="F19">
        <f t="shared" si="2"/>
        <v>13.822378</v>
      </c>
      <c r="G19">
        <f>IFERROR(B19+C19,0)</f>
        <v>18000000</v>
      </c>
      <c r="H19">
        <f>SUM($G$2:G19)</f>
        <v>277342949</v>
      </c>
      <c r="I19">
        <f t="shared" si="3"/>
        <v>231.11912416666667</v>
      </c>
      <c r="J19">
        <f t="shared" si="4"/>
        <v>252.33404283333334</v>
      </c>
      <c r="K19">
        <f t="shared" si="5"/>
        <v>4542.0127709999997</v>
      </c>
    </row>
    <row r="20" spans="1:11">
      <c r="A20">
        <v>19</v>
      </c>
      <c r="B20" s="6">
        <v>7178714</v>
      </c>
      <c r="C20" s="6">
        <v>10821286</v>
      </c>
      <c r="D20">
        <f t="shared" si="0"/>
        <v>4328514.4000000004</v>
      </c>
      <c r="E20">
        <f t="shared" si="1"/>
        <v>7.214190666666668</v>
      </c>
      <c r="F20">
        <f t="shared" si="2"/>
        <v>14.357428000000001</v>
      </c>
      <c r="G20">
        <f>IFERROR(B20+C20,0)</f>
        <v>18000000</v>
      </c>
      <c r="H20">
        <f>SUM($G$2:G20)</f>
        <v>295342949</v>
      </c>
      <c r="I20">
        <f t="shared" si="3"/>
        <v>246.11912416666667</v>
      </c>
      <c r="J20">
        <f t="shared" si="4"/>
        <v>267.69074283333339</v>
      </c>
      <c r="K20">
        <f t="shared" si="5"/>
        <v>5086.1241138333344</v>
      </c>
    </row>
    <row r="21" spans="1:11">
      <c r="A21">
        <v>20</v>
      </c>
      <c r="B21" s="6">
        <v>6821962</v>
      </c>
      <c r="C21" s="6">
        <v>11178038</v>
      </c>
      <c r="D21">
        <f t="shared" si="0"/>
        <v>4471215.2</v>
      </c>
      <c r="E21">
        <f t="shared" si="1"/>
        <v>7.4520253333333342</v>
      </c>
      <c r="F21">
        <f t="shared" si="2"/>
        <v>13.643924</v>
      </c>
      <c r="G21">
        <f>IFERROR(B21+C21,0)</f>
        <v>18000000</v>
      </c>
      <c r="H21">
        <f>SUM($G$2:G21)</f>
        <v>313342949</v>
      </c>
      <c r="I21">
        <f t="shared" si="3"/>
        <v>261.11912416666667</v>
      </c>
      <c r="J21">
        <f t="shared" si="4"/>
        <v>282.21507350000002</v>
      </c>
      <c r="K21">
        <f t="shared" si="5"/>
        <v>5644.3014700000003</v>
      </c>
    </row>
    <row r="22" spans="1:11">
      <c r="A22">
        <v>21</v>
      </c>
      <c r="B22" s="6">
        <v>6059609</v>
      </c>
      <c r="C22" s="6">
        <v>11940391</v>
      </c>
      <c r="D22">
        <f t="shared" si="0"/>
        <v>4776156.4000000004</v>
      </c>
      <c r="E22">
        <f t="shared" si="1"/>
        <v>7.9602606666666675</v>
      </c>
      <c r="F22">
        <f t="shared" si="2"/>
        <v>12.119218</v>
      </c>
      <c r="G22">
        <f>IFERROR(B22+C22,0)</f>
        <v>18000000</v>
      </c>
      <c r="H22">
        <f>SUM($G$2:G22)</f>
        <v>331342949</v>
      </c>
      <c r="I22">
        <f t="shared" si="3"/>
        <v>276.11912416666667</v>
      </c>
      <c r="J22">
        <f t="shared" si="4"/>
        <v>296.19860283333333</v>
      </c>
      <c r="K22">
        <f t="shared" si="5"/>
        <v>6220.1706594999996</v>
      </c>
    </row>
    <row r="23" spans="1:11">
      <c r="A23">
        <v>22</v>
      </c>
      <c r="B23" s="6">
        <v>5690277</v>
      </c>
      <c r="C23" s="6">
        <v>12309723</v>
      </c>
      <c r="D23">
        <f t="shared" si="0"/>
        <v>4923889.2</v>
      </c>
      <c r="E23">
        <f t="shared" si="1"/>
        <v>8.2064820000000012</v>
      </c>
      <c r="F23">
        <f t="shared" si="2"/>
        <v>11.380554</v>
      </c>
      <c r="G23">
        <f>IFERROR(B23+C23,0)</f>
        <v>18000000</v>
      </c>
      <c r="H23">
        <f>SUM($G$2:G23)</f>
        <v>349342949</v>
      </c>
      <c r="I23">
        <f t="shared" si="3"/>
        <v>291.11912416666667</v>
      </c>
      <c r="J23">
        <f t="shared" si="4"/>
        <v>310.70616016666668</v>
      </c>
      <c r="K23">
        <f t="shared" si="5"/>
        <v>6835.5355236666674</v>
      </c>
    </row>
    <row r="24" spans="1:11">
      <c r="A24">
        <v>23</v>
      </c>
      <c r="B24" s="6">
        <v>5430795</v>
      </c>
      <c r="C24" s="6">
        <v>12569205</v>
      </c>
      <c r="D24">
        <f t="shared" si="0"/>
        <v>5027682</v>
      </c>
      <c r="E24">
        <f t="shared" si="1"/>
        <v>8.3794699999999995</v>
      </c>
      <c r="F24">
        <f t="shared" si="2"/>
        <v>10.86159</v>
      </c>
      <c r="G24">
        <f>IFERROR(B24+C24,0)</f>
        <v>18000000</v>
      </c>
      <c r="H24">
        <f>SUM($G$2:G24)</f>
        <v>367342949</v>
      </c>
      <c r="I24">
        <f t="shared" si="3"/>
        <v>306.11912416666667</v>
      </c>
      <c r="J24">
        <f t="shared" si="4"/>
        <v>325.36018416666667</v>
      </c>
      <c r="K24">
        <f t="shared" si="5"/>
        <v>7483.2842358333337</v>
      </c>
    </row>
    <row r="25" spans="1:11">
      <c r="A25">
        <v>24</v>
      </c>
      <c r="B25" s="6">
        <v>4863951</v>
      </c>
      <c r="C25" s="6">
        <v>13136049</v>
      </c>
      <c r="D25">
        <f t="shared" si="0"/>
        <v>5254419.5999999996</v>
      </c>
      <c r="E25">
        <f t="shared" si="1"/>
        <v>8.7573659999999993</v>
      </c>
      <c r="F25">
        <f t="shared" si="2"/>
        <v>9.7279020000000003</v>
      </c>
      <c r="G25">
        <f>IFERROR(B25+C25,0)</f>
        <v>18000000</v>
      </c>
      <c r="H25">
        <f>SUM($G$2:G25)</f>
        <v>385342949</v>
      </c>
      <c r="I25">
        <f t="shared" si="3"/>
        <v>321.11912416666667</v>
      </c>
      <c r="J25">
        <f t="shared" si="4"/>
        <v>339.60439216666663</v>
      </c>
      <c r="K25">
        <f t="shared" si="5"/>
        <v>8150.5054119999986</v>
      </c>
    </row>
    <row r="26" spans="1:11">
      <c r="A26">
        <v>25</v>
      </c>
      <c r="B26" s="6">
        <v>4873198</v>
      </c>
      <c r="C26" s="6">
        <v>13126802</v>
      </c>
      <c r="D26">
        <f t="shared" si="0"/>
        <v>5250720.8</v>
      </c>
      <c r="E26">
        <f t="shared" si="1"/>
        <v>8.7512013333333343</v>
      </c>
      <c r="F26">
        <f t="shared" si="2"/>
        <v>9.7463960000000007</v>
      </c>
      <c r="G26">
        <f>IFERROR(B26+C26,0)</f>
        <v>18000000</v>
      </c>
      <c r="H26">
        <f>SUM($G$2:G26)</f>
        <v>403342949</v>
      </c>
      <c r="I26">
        <f t="shared" si="3"/>
        <v>336.11912416666667</v>
      </c>
      <c r="J26">
        <f t="shared" si="4"/>
        <v>354.61672149999998</v>
      </c>
      <c r="K26">
        <f t="shared" si="5"/>
        <v>8865.4180374999996</v>
      </c>
    </row>
    <row r="27" spans="1:11">
      <c r="A27">
        <v>26</v>
      </c>
      <c r="B27" s="6">
        <v>6686561</v>
      </c>
      <c r="C27" s="6">
        <v>11313439</v>
      </c>
      <c r="D27">
        <f t="shared" si="0"/>
        <v>4525375.5999999996</v>
      </c>
      <c r="E27">
        <f t="shared" si="1"/>
        <v>7.5422926666666665</v>
      </c>
      <c r="F27">
        <f t="shared" ref="F27:F28" si="6">(B27*2)/1000000</f>
        <v>13.373122</v>
      </c>
      <c r="G27">
        <f t="shared" ref="G27:G28" si="7">IFERROR(B27+C27,0)</f>
        <v>18000000</v>
      </c>
      <c r="H27">
        <f>SUM($G$2:G27)</f>
        <v>421342949</v>
      </c>
      <c r="I27">
        <f t="shared" si="3"/>
        <v>351.11912416666667</v>
      </c>
      <c r="J27">
        <f t="shared" ref="J27:J28" si="8">I27+F27+E27</f>
        <v>372.03453883333333</v>
      </c>
      <c r="K27">
        <f t="shared" ref="K27:K28" si="9">A27*J27</f>
        <v>9672.8980096666673</v>
      </c>
    </row>
    <row r="28" spans="1:11">
      <c r="A28">
        <v>27</v>
      </c>
      <c r="B28" s="6">
        <v>3743277</v>
      </c>
      <c r="C28" s="6">
        <v>5523693</v>
      </c>
      <c r="D28">
        <f t="shared" si="0"/>
        <v>2209477.2000000002</v>
      </c>
      <c r="E28">
        <f t="shared" si="1"/>
        <v>3.6824620000000001</v>
      </c>
      <c r="F28">
        <f t="shared" si="6"/>
        <v>7.4865539999999999</v>
      </c>
      <c r="G28">
        <f t="shared" si="7"/>
        <v>9266970</v>
      </c>
      <c r="H28">
        <f>SUM($G$2:G28)</f>
        <v>430609919</v>
      </c>
      <c r="I28">
        <f t="shared" si="3"/>
        <v>358.8415991666667</v>
      </c>
      <c r="J28">
        <f t="shared" si="8"/>
        <v>370.0106151666667</v>
      </c>
      <c r="K28">
        <f t="shared" si="9"/>
        <v>9990.2866095000008</v>
      </c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222999040</v>
      </c>
    </row>
    <row r="37" spans="1:10">
      <c r="H37" s="14" t="s">
        <v>37</v>
      </c>
      <c r="I37" t="s">
        <v>2</v>
      </c>
      <c r="J37" s="15">
        <f>MAX(K2:K33)</f>
        <v>9990.2866095000008</v>
      </c>
    </row>
    <row r="38" spans="1:10">
      <c r="I38" t="s">
        <v>3</v>
      </c>
      <c r="J38" s="15">
        <f>MAX(J2:J33)</f>
        <v>372.03453883333333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>
        <v>1</v>
      </c>
      <c r="B57" s="6">
        <v>9000000</v>
      </c>
      <c r="C57" s="6">
        <v>5281971</v>
      </c>
      <c r="D57" s="6">
        <v>0.59</v>
      </c>
      <c r="E57" s="6">
        <v>2.3742999999999999</v>
      </c>
      <c r="F57" s="6">
        <v>768841643</v>
      </c>
      <c r="G57" s="6">
        <v>698946948</v>
      </c>
    </row>
    <row r="58" spans="1:9">
      <c r="A58" s="6">
        <v>2</v>
      </c>
      <c r="B58" s="6">
        <v>9000000</v>
      </c>
      <c r="C58" s="6">
        <v>5348460</v>
      </c>
      <c r="D58" s="6">
        <v>0.59</v>
      </c>
      <c r="E58" s="6">
        <v>1.7327999999999999</v>
      </c>
      <c r="F58" s="6">
        <v>501419759</v>
      </c>
      <c r="G58" s="6">
        <v>414396495</v>
      </c>
    </row>
    <row r="59" spans="1:9">
      <c r="A59" s="6">
        <v>3</v>
      </c>
      <c r="B59" s="6">
        <v>9000000</v>
      </c>
      <c r="C59" s="6">
        <v>5642411</v>
      </c>
      <c r="D59" s="6">
        <v>0.63</v>
      </c>
      <c r="E59" s="6">
        <v>1.9703999999999999</v>
      </c>
      <c r="F59" s="6">
        <v>599432085</v>
      </c>
      <c r="G59" s="6">
        <v>450362198</v>
      </c>
    </row>
    <row r="60" spans="1:9">
      <c r="A60" s="6">
        <v>4</v>
      </c>
      <c r="B60" s="6">
        <v>9000000</v>
      </c>
      <c r="C60" s="6">
        <v>6225142</v>
      </c>
      <c r="D60" s="6">
        <v>0.69</v>
      </c>
      <c r="E60" s="6">
        <v>2.4085000000000001</v>
      </c>
      <c r="F60" s="6">
        <v>779981889</v>
      </c>
      <c r="G60" s="6">
        <v>532738125</v>
      </c>
    </row>
    <row r="61" spans="1:9">
      <c r="A61" s="6">
        <v>5</v>
      </c>
      <c r="B61" s="6">
        <v>9000000</v>
      </c>
      <c r="C61" s="6">
        <v>6932538</v>
      </c>
      <c r="D61" s="6">
        <v>0.77</v>
      </c>
      <c r="E61" s="6">
        <v>2.5255999999999998</v>
      </c>
      <c r="F61" s="6">
        <v>826423310</v>
      </c>
      <c r="G61" s="6">
        <v>513143855</v>
      </c>
    </row>
    <row r="62" spans="1:9">
      <c r="A62" s="6">
        <v>6</v>
      </c>
      <c r="B62" s="6">
        <v>9000000</v>
      </c>
      <c r="C62" s="6">
        <v>7844416</v>
      </c>
      <c r="D62" s="6">
        <v>0.87</v>
      </c>
      <c r="E62" s="6">
        <v>2.4519000000000002</v>
      </c>
      <c r="F62" s="6">
        <v>792752066</v>
      </c>
      <c r="G62" s="6">
        <v>447487874</v>
      </c>
    </row>
    <row r="63" spans="1:9">
      <c r="A63" s="6">
        <v>7</v>
      </c>
      <c r="B63" s="6">
        <v>9000000</v>
      </c>
      <c r="C63" s="6">
        <v>5777267</v>
      </c>
      <c r="D63" s="6">
        <v>0.64</v>
      </c>
      <c r="E63" s="6">
        <v>2.4948999999999999</v>
      </c>
      <c r="F63" s="6">
        <v>817451983</v>
      </c>
      <c r="G63" s="6">
        <v>419482121</v>
      </c>
    </row>
    <row r="64" spans="1:9">
      <c r="A64" s="6">
        <v>8</v>
      </c>
      <c r="B64" s="6">
        <v>9000000</v>
      </c>
      <c r="C64" s="6">
        <v>4502257</v>
      </c>
      <c r="D64" s="6">
        <v>0.5</v>
      </c>
      <c r="E64" s="6">
        <v>2.3523999999999998</v>
      </c>
      <c r="F64" s="6">
        <v>762262414</v>
      </c>
      <c r="G64" s="6">
        <v>355601042</v>
      </c>
    </row>
    <row r="65" spans="1:7">
      <c r="A65" s="6">
        <v>9</v>
      </c>
      <c r="B65" s="6">
        <v>9000000</v>
      </c>
      <c r="C65" s="6">
        <v>4546727</v>
      </c>
      <c r="D65" s="6">
        <v>0.51</v>
      </c>
      <c r="E65" s="6">
        <v>2.3511000000000002</v>
      </c>
      <c r="F65" s="6">
        <v>761582199</v>
      </c>
      <c r="G65" s="6">
        <v>322985197</v>
      </c>
    </row>
    <row r="66" spans="1:7">
      <c r="A66" s="6">
        <v>10</v>
      </c>
      <c r="B66" s="6">
        <v>9000000</v>
      </c>
      <c r="C66" s="6">
        <v>4386245</v>
      </c>
      <c r="D66" s="6">
        <v>0.49</v>
      </c>
      <c r="E66" s="6">
        <v>2.3614999999999999</v>
      </c>
      <c r="F66" s="6">
        <v>766456330</v>
      </c>
      <c r="G66" s="6">
        <v>295502095</v>
      </c>
    </row>
    <row r="67" spans="1:7">
      <c r="A67" s="6">
        <v>11</v>
      </c>
      <c r="B67" s="6">
        <v>9000000</v>
      </c>
      <c r="C67" s="6">
        <v>4340490</v>
      </c>
      <c r="D67" s="6">
        <v>0.48</v>
      </c>
      <c r="E67" s="6">
        <v>2.4462999999999999</v>
      </c>
      <c r="F67" s="6">
        <v>801895701</v>
      </c>
      <c r="G67" s="6">
        <v>281059551</v>
      </c>
    </row>
    <row r="68" spans="1:7">
      <c r="A68" s="6">
        <v>12</v>
      </c>
      <c r="B68" s="6">
        <v>9000000</v>
      </c>
      <c r="C68" s="6">
        <v>4238447</v>
      </c>
      <c r="D68" s="6">
        <v>0.47</v>
      </c>
      <c r="E68" s="6">
        <v>2.5280999999999998</v>
      </c>
      <c r="F68" s="6">
        <v>836332219</v>
      </c>
      <c r="G68" s="6">
        <v>266481219</v>
      </c>
    </row>
    <row r="69" spans="1:7">
      <c r="A69" s="6">
        <v>13</v>
      </c>
      <c r="B69" s="6">
        <v>9000000</v>
      </c>
      <c r="C69" s="6">
        <v>5663519</v>
      </c>
      <c r="D69" s="6">
        <v>0.63</v>
      </c>
      <c r="E69" s="6">
        <v>2.9121000000000001</v>
      </c>
      <c r="F69" s="6">
        <v>991601785</v>
      </c>
      <c r="G69" s="6">
        <v>287231716</v>
      </c>
    </row>
    <row r="70" spans="1:7">
      <c r="A70" s="6">
        <v>14</v>
      </c>
      <c r="B70" s="6">
        <v>9000000</v>
      </c>
      <c r="C70" s="6">
        <v>8934982</v>
      </c>
      <c r="D70" s="6">
        <v>0.99</v>
      </c>
      <c r="E70" s="6">
        <v>2.165</v>
      </c>
      <c r="F70" s="6">
        <v>669669336</v>
      </c>
      <c r="G70" s="6">
        <v>176344866</v>
      </c>
    </row>
    <row r="71" spans="1:7">
      <c r="A71" s="6">
        <v>15</v>
      </c>
      <c r="B71" s="6">
        <v>9000000</v>
      </c>
      <c r="C71" s="6">
        <v>8678077</v>
      </c>
      <c r="D71" s="6">
        <v>0.96</v>
      </c>
      <c r="E71" s="6">
        <v>1.0916999999999999</v>
      </c>
      <c r="F71" s="6">
        <v>223494611</v>
      </c>
      <c r="G71" s="6">
        <v>53502833</v>
      </c>
    </row>
    <row r="72" spans="1:7">
      <c r="A72" s="6">
        <v>16</v>
      </c>
      <c r="B72" s="6">
        <v>7693297</v>
      </c>
      <c r="C72" s="6">
        <v>10306703</v>
      </c>
      <c r="D72" s="6">
        <v>1.34</v>
      </c>
      <c r="E72" s="6">
        <v>1.24</v>
      </c>
      <c r="F72" s="6">
        <v>234365424</v>
      </c>
      <c r="G72" s="6">
        <v>51004745</v>
      </c>
    </row>
    <row r="73" spans="1:7">
      <c r="A73" s="6">
        <v>17</v>
      </c>
      <c r="B73" s="6">
        <v>6658049</v>
      </c>
      <c r="C73" s="6">
        <v>11341951</v>
      </c>
      <c r="D73" s="6">
        <v>1.7</v>
      </c>
      <c r="E73" s="6">
        <v>1.1137999999999999</v>
      </c>
      <c r="F73" s="6">
        <v>155992858</v>
      </c>
      <c r="G73" s="6">
        <v>30862355</v>
      </c>
    </row>
    <row r="74" spans="1:7">
      <c r="A74" s="6">
        <v>18</v>
      </c>
      <c r="B74" s="6">
        <v>6911189</v>
      </c>
      <c r="C74" s="6">
        <v>11088811</v>
      </c>
      <c r="D74" s="6">
        <v>1.6</v>
      </c>
      <c r="E74" s="6">
        <v>1.2073</v>
      </c>
      <c r="F74" s="6">
        <v>194058676</v>
      </c>
      <c r="G74" s="6">
        <v>34903159</v>
      </c>
    </row>
    <row r="75" spans="1:7">
      <c r="A75" s="6">
        <v>19</v>
      </c>
      <c r="B75" s="6">
        <v>7178714</v>
      </c>
      <c r="C75" s="6">
        <v>10821286</v>
      </c>
      <c r="D75" s="6">
        <v>1.51</v>
      </c>
      <c r="E75" s="6">
        <v>1.2654000000000001</v>
      </c>
      <c r="F75" s="6">
        <v>223157560</v>
      </c>
      <c r="G75" s="6">
        <v>36488044</v>
      </c>
    </row>
    <row r="76" spans="1:7">
      <c r="A76" s="6">
        <v>20</v>
      </c>
      <c r="B76" s="6">
        <v>6821962</v>
      </c>
      <c r="C76" s="6">
        <v>11178038</v>
      </c>
      <c r="D76" s="6">
        <v>1.64</v>
      </c>
      <c r="E76" s="6">
        <v>1.3019000000000001</v>
      </c>
      <c r="F76" s="6">
        <v>220670947</v>
      </c>
      <c r="G76" s="6">
        <v>32801330</v>
      </c>
    </row>
    <row r="77" spans="1:7">
      <c r="A77" s="6">
        <v>21</v>
      </c>
      <c r="B77" s="6">
        <v>6059609</v>
      </c>
      <c r="C77" s="6">
        <v>11940391</v>
      </c>
      <c r="D77" s="6">
        <v>1.97</v>
      </c>
      <c r="E77" s="6">
        <v>1.3150999999999999</v>
      </c>
      <c r="F77" s="6">
        <v>193100997</v>
      </c>
      <c r="G77" s="6">
        <v>26093848</v>
      </c>
    </row>
    <row r="78" spans="1:7">
      <c r="A78" s="6">
        <v>22</v>
      </c>
      <c r="B78" s="6">
        <v>5690277</v>
      </c>
      <c r="C78" s="6">
        <v>12309723</v>
      </c>
      <c r="D78" s="6">
        <v>2.16</v>
      </c>
      <c r="E78" s="6">
        <v>1.3871</v>
      </c>
      <c r="F78" s="6">
        <v>196698663</v>
      </c>
      <c r="G78" s="6">
        <v>24163639</v>
      </c>
    </row>
    <row r="79" spans="1:7">
      <c r="A79" s="6">
        <v>23</v>
      </c>
      <c r="B79" s="6">
        <v>5430795</v>
      </c>
      <c r="C79" s="6">
        <v>12569205</v>
      </c>
      <c r="D79" s="6">
        <v>2.31</v>
      </c>
      <c r="E79" s="6">
        <v>1.5204</v>
      </c>
      <c r="F79" s="6">
        <v>218554911</v>
      </c>
      <c r="G79" s="6">
        <v>24407810</v>
      </c>
    </row>
    <row r="80" spans="1:7">
      <c r="A80" s="6">
        <v>24</v>
      </c>
      <c r="B80" s="6">
        <v>4863951</v>
      </c>
      <c r="C80" s="6">
        <v>13136049</v>
      </c>
      <c r="D80" s="6">
        <v>2.7</v>
      </c>
      <c r="E80" s="6">
        <v>1.677</v>
      </c>
      <c r="F80" s="6">
        <v>224813878</v>
      </c>
      <c r="G80" s="6">
        <v>22824363</v>
      </c>
    </row>
    <row r="81" spans="1:7">
      <c r="A81" s="6">
        <v>25</v>
      </c>
      <c r="B81" s="6">
        <v>4873198</v>
      </c>
      <c r="C81" s="6">
        <v>13126802</v>
      </c>
      <c r="D81" s="6">
        <v>2.69</v>
      </c>
      <c r="E81" s="6">
        <v>1.9661999999999999</v>
      </c>
      <c r="F81" s="6">
        <v>290593671</v>
      </c>
      <c r="G81" s="6">
        <v>26820633</v>
      </c>
    </row>
    <row r="82" spans="1:7">
      <c r="A82" s="6">
        <v>26</v>
      </c>
      <c r="B82" s="6">
        <v>6686561</v>
      </c>
      <c r="C82" s="6">
        <v>11313439</v>
      </c>
      <c r="D82" s="6">
        <v>1.69</v>
      </c>
      <c r="E82" s="6">
        <v>1.7878000000000001</v>
      </c>
      <c r="F82" s="6">
        <v>365467897</v>
      </c>
      <c r="G82" s="6">
        <v>30664749</v>
      </c>
    </row>
    <row r="83" spans="1:7">
      <c r="A83" s="6">
        <v>27</v>
      </c>
      <c r="B83" s="6">
        <v>3743277</v>
      </c>
      <c r="C83" s="6">
        <v>5523693</v>
      </c>
      <c r="D83" s="6">
        <v>1.48</v>
      </c>
      <c r="E83" s="6">
        <v>2.5779000000000001</v>
      </c>
      <c r="F83" s="6">
        <v>344131726</v>
      </c>
      <c r="G83" s="6">
        <v>27491892</v>
      </c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0"/>
  <sheetViews>
    <sheetView workbookViewId="0">
      <selection activeCell="E31" sqref="E31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11400000</v>
      </c>
      <c r="C2" s="6">
        <v>6747106</v>
      </c>
      <c r="D2">
        <f>C2/2.5</f>
        <v>2698842.4</v>
      </c>
      <c r="E2">
        <f>(D2/60)/10000</f>
        <v>4.4980706666666661</v>
      </c>
      <c r="F2">
        <f>(B2*2)/1000000</f>
        <v>22.8</v>
      </c>
      <c r="G2">
        <f>IFERROR(B2+C2,0)</f>
        <v>18147106</v>
      </c>
      <c r="H2">
        <f>SUM($G$2:G2)</f>
        <v>18147106</v>
      </c>
      <c r="I2">
        <f>((H2/2.5)/48)/10000</f>
        <v>15.122588333333333</v>
      </c>
      <c r="J2">
        <f>I2+F2+E2</f>
        <v>42.420659000000001</v>
      </c>
      <c r="K2">
        <f>A2*J2</f>
        <v>42.420659000000001</v>
      </c>
    </row>
    <row r="3" spans="1:11">
      <c r="A3">
        <v>2</v>
      </c>
      <c r="B3" s="6">
        <v>11400000</v>
      </c>
      <c r="C3" s="6">
        <v>6910032</v>
      </c>
      <c r="D3">
        <f t="shared" ref="D3:D28" si="0">C3/2.5</f>
        <v>2764012.8</v>
      </c>
      <c r="E3">
        <f t="shared" ref="E3:E28" si="1">(D3/60)/10000</f>
        <v>4.6066880000000001</v>
      </c>
      <c r="F3">
        <f t="shared" ref="F3:F34" si="2">(B3*2)/1000000</f>
        <v>22.8</v>
      </c>
      <c r="G3">
        <f>IFERROR(B3+C3,0)</f>
        <v>18310032</v>
      </c>
      <c r="H3">
        <f>SUM($G$2:G3)</f>
        <v>36457138</v>
      </c>
      <c r="I3">
        <f t="shared" ref="I3:I28" si="3">((H3/2.5)/48)/10000</f>
        <v>30.380948333333333</v>
      </c>
      <c r="J3">
        <f t="shared" ref="J3:J28" si="4">I3+F3+E3</f>
        <v>57.787636333333332</v>
      </c>
      <c r="K3">
        <f t="shared" ref="K3:K28" si="5">A3*J3</f>
        <v>115.57527266666666</v>
      </c>
    </row>
    <row r="4" spans="1:11">
      <c r="A4">
        <v>3</v>
      </c>
      <c r="B4" s="6">
        <v>11319271</v>
      </c>
      <c r="C4" s="6">
        <v>7680729</v>
      </c>
      <c r="D4">
        <f t="shared" si="0"/>
        <v>3072291.6</v>
      </c>
      <c r="E4">
        <f t="shared" si="1"/>
        <v>5.1204859999999996</v>
      </c>
      <c r="F4">
        <f t="shared" si="2"/>
        <v>22.638542000000001</v>
      </c>
      <c r="G4">
        <f>IFERROR(B4+C4,0)</f>
        <v>19000000</v>
      </c>
      <c r="H4">
        <f>SUM($G$2:G4)</f>
        <v>55457138</v>
      </c>
      <c r="I4">
        <f t="shared" si="3"/>
        <v>46.214281666666665</v>
      </c>
      <c r="J4">
        <f t="shared" si="4"/>
        <v>73.973309666666665</v>
      </c>
      <c r="K4">
        <f t="shared" si="5"/>
        <v>221.919929</v>
      </c>
    </row>
    <row r="5" spans="1:11">
      <c r="A5">
        <v>4</v>
      </c>
      <c r="B5" s="6">
        <v>10767982</v>
      </c>
      <c r="C5" s="6">
        <v>8232018</v>
      </c>
      <c r="D5">
        <f t="shared" si="0"/>
        <v>3292807.2</v>
      </c>
      <c r="E5">
        <f t="shared" si="1"/>
        <v>5.4880120000000003</v>
      </c>
      <c r="F5">
        <f t="shared" si="2"/>
        <v>21.535964</v>
      </c>
      <c r="G5">
        <f>IFERROR(B5+C5,0)</f>
        <v>19000000</v>
      </c>
      <c r="H5">
        <f>SUM($G$2:G5)</f>
        <v>74457138</v>
      </c>
      <c r="I5">
        <f t="shared" si="3"/>
        <v>62.047615</v>
      </c>
      <c r="J5">
        <f t="shared" si="4"/>
        <v>89.071590999999998</v>
      </c>
      <c r="K5">
        <f t="shared" si="5"/>
        <v>356.28636399999999</v>
      </c>
    </row>
    <row r="6" spans="1:11">
      <c r="A6">
        <v>5</v>
      </c>
      <c r="B6" s="6">
        <v>10200518</v>
      </c>
      <c r="C6" s="6">
        <v>8799482</v>
      </c>
      <c r="D6">
        <f t="shared" si="0"/>
        <v>3519792.8</v>
      </c>
      <c r="E6">
        <f t="shared" si="1"/>
        <v>5.8663213333333335</v>
      </c>
      <c r="F6">
        <f t="shared" si="2"/>
        <v>20.401036000000001</v>
      </c>
      <c r="G6">
        <f>IFERROR(B6+C6,0)</f>
        <v>19000000</v>
      </c>
      <c r="H6">
        <f>SUM($G$2:G6)</f>
        <v>93457138</v>
      </c>
      <c r="I6">
        <f t="shared" si="3"/>
        <v>77.880948333333336</v>
      </c>
      <c r="J6">
        <f t="shared" si="4"/>
        <v>104.14830566666667</v>
      </c>
      <c r="K6">
        <f t="shared" si="5"/>
        <v>520.74152833333335</v>
      </c>
    </row>
    <row r="7" spans="1:11">
      <c r="A7">
        <v>6</v>
      </c>
      <c r="B7" s="6">
        <v>11400000</v>
      </c>
      <c r="C7" s="6">
        <v>6967223</v>
      </c>
      <c r="D7">
        <f t="shared" si="0"/>
        <v>2786889.2</v>
      </c>
      <c r="E7">
        <f t="shared" si="1"/>
        <v>4.6448153333333337</v>
      </c>
      <c r="F7">
        <f t="shared" si="2"/>
        <v>22.8</v>
      </c>
      <c r="G7">
        <f>IFERROR(B7+C7,0)</f>
        <v>18367223</v>
      </c>
      <c r="H7">
        <f>SUM($G$2:G7)</f>
        <v>111824361</v>
      </c>
      <c r="I7">
        <f t="shared" si="3"/>
        <v>93.186967499999994</v>
      </c>
      <c r="J7">
        <f t="shared" si="4"/>
        <v>120.63178283333332</v>
      </c>
      <c r="K7">
        <f t="shared" si="5"/>
        <v>723.79069699999991</v>
      </c>
    </row>
    <row r="8" spans="1:11">
      <c r="A8">
        <v>7</v>
      </c>
      <c r="B8" s="6">
        <v>11400000</v>
      </c>
      <c r="C8" s="6">
        <v>5884104</v>
      </c>
      <c r="D8">
        <f t="shared" si="0"/>
        <v>2353641.6</v>
      </c>
      <c r="E8">
        <f t="shared" si="1"/>
        <v>3.922736</v>
      </c>
      <c r="F8">
        <f t="shared" si="2"/>
        <v>22.8</v>
      </c>
      <c r="G8">
        <f>IFERROR(B8+C8,0)</f>
        <v>17284104</v>
      </c>
      <c r="H8">
        <f>SUM($G$2:G8)</f>
        <v>129108465</v>
      </c>
      <c r="I8">
        <f t="shared" si="3"/>
        <v>107.59038750000001</v>
      </c>
      <c r="J8">
        <f t="shared" si="4"/>
        <v>134.31312349999999</v>
      </c>
      <c r="K8">
        <f t="shared" si="5"/>
        <v>940.19186449999995</v>
      </c>
    </row>
    <row r="9" spans="1:11">
      <c r="A9">
        <v>8</v>
      </c>
      <c r="B9" s="6">
        <v>11400000</v>
      </c>
      <c r="C9" s="6">
        <v>7365120</v>
      </c>
      <c r="D9">
        <f t="shared" si="0"/>
        <v>2946048</v>
      </c>
      <c r="E9">
        <f t="shared" si="1"/>
        <v>4.9100800000000007</v>
      </c>
      <c r="F9">
        <f t="shared" si="2"/>
        <v>22.8</v>
      </c>
      <c r="G9">
        <f>IFERROR(B9+C9,0)</f>
        <v>18765120</v>
      </c>
      <c r="H9">
        <f>SUM($G$2:G9)</f>
        <v>147873585</v>
      </c>
      <c r="I9">
        <f t="shared" si="3"/>
        <v>123.2279875</v>
      </c>
      <c r="J9">
        <f t="shared" si="4"/>
        <v>150.93806749999999</v>
      </c>
      <c r="K9">
        <f t="shared" si="5"/>
        <v>1207.5045399999999</v>
      </c>
    </row>
    <row r="10" spans="1:11">
      <c r="A10">
        <v>9</v>
      </c>
      <c r="B10" s="6">
        <v>11400000</v>
      </c>
      <c r="C10" s="6">
        <v>5543592</v>
      </c>
      <c r="D10">
        <f t="shared" si="0"/>
        <v>2217436.7999999998</v>
      </c>
      <c r="E10">
        <f t="shared" si="1"/>
        <v>3.6957279999999999</v>
      </c>
      <c r="F10">
        <f t="shared" si="2"/>
        <v>22.8</v>
      </c>
      <c r="G10">
        <f>IFERROR(B10+C10,0)</f>
        <v>16943592</v>
      </c>
      <c r="H10">
        <f>SUM($G$2:G10)</f>
        <v>164817177</v>
      </c>
      <c r="I10">
        <f t="shared" si="3"/>
        <v>137.34764749999999</v>
      </c>
      <c r="J10">
        <f t="shared" si="4"/>
        <v>163.84337550000001</v>
      </c>
      <c r="K10">
        <f t="shared" si="5"/>
        <v>1474.5903795000002</v>
      </c>
    </row>
    <row r="11" spans="1:11">
      <c r="A11">
        <v>10</v>
      </c>
      <c r="B11" s="6">
        <v>11399830</v>
      </c>
      <c r="C11" s="6">
        <v>7600170</v>
      </c>
      <c r="D11">
        <f t="shared" si="0"/>
        <v>3040068</v>
      </c>
      <c r="E11">
        <f t="shared" si="1"/>
        <v>5.0667800000000005</v>
      </c>
      <c r="F11">
        <f t="shared" si="2"/>
        <v>22.799659999999999</v>
      </c>
      <c r="G11">
        <f>IFERROR(B11+C11,0)</f>
        <v>19000000</v>
      </c>
      <c r="H11">
        <f>SUM($G$2:G11)</f>
        <v>183817177</v>
      </c>
      <c r="I11">
        <f t="shared" si="3"/>
        <v>153.18098083333334</v>
      </c>
      <c r="J11">
        <f t="shared" si="4"/>
        <v>181.04742083333332</v>
      </c>
      <c r="K11">
        <f t="shared" si="5"/>
        <v>1810.4742083333331</v>
      </c>
    </row>
    <row r="12" spans="1:11">
      <c r="A12">
        <v>11</v>
      </c>
      <c r="B12" s="6">
        <v>11397240</v>
      </c>
      <c r="C12" s="6">
        <v>7602760</v>
      </c>
      <c r="D12">
        <f t="shared" si="0"/>
        <v>3041104</v>
      </c>
      <c r="E12">
        <f t="shared" si="1"/>
        <v>5.0685066666666669</v>
      </c>
      <c r="F12">
        <f t="shared" si="2"/>
        <v>22.79448</v>
      </c>
      <c r="G12">
        <f>IFERROR(B12+C12,0)</f>
        <v>19000000</v>
      </c>
      <c r="H12">
        <f>SUM($G$2:G12)</f>
        <v>202817177</v>
      </c>
      <c r="I12">
        <f t="shared" si="3"/>
        <v>169.01431416666665</v>
      </c>
      <c r="J12">
        <f t="shared" si="4"/>
        <v>196.87730083333332</v>
      </c>
      <c r="K12">
        <f t="shared" si="5"/>
        <v>2165.6503091666664</v>
      </c>
    </row>
    <row r="13" spans="1:11">
      <c r="A13">
        <v>12</v>
      </c>
      <c r="B13" s="6">
        <v>9784883</v>
      </c>
      <c r="C13" s="6">
        <v>9215117</v>
      </c>
      <c r="D13">
        <f t="shared" si="0"/>
        <v>3686046.8</v>
      </c>
      <c r="E13">
        <f t="shared" si="1"/>
        <v>6.1434113333333329</v>
      </c>
      <c r="F13">
        <f t="shared" si="2"/>
        <v>19.569766000000001</v>
      </c>
      <c r="G13">
        <f>IFERROR(B13+C13,0)</f>
        <v>19000000</v>
      </c>
      <c r="H13">
        <f>SUM($G$2:G13)</f>
        <v>221817177</v>
      </c>
      <c r="I13">
        <f t="shared" si="3"/>
        <v>184.84764749999999</v>
      </c>
      <c r="J13">
        <f t="shared" si="4"/>
        <v>210.56082483333336</v>
      </c>
      <c r="K13">
        <f t="shared" si="5"/>
        <v>2526.7298980000005</v>
      </c>
    </row>
    <row r="14" spans="1:11">
      <c r="A14">
        <v>13</v>
      </c>
      <c r="B14" s="6">
        <v>8479246</v>
      </c>
      <c r="C14" s="6">
        <v>10520754</v>
      </c>
      <c r="D14">
        <f t="shared" si="0"/>
        <v>4208301.5999999996</v>
      </c>
      <c r="E14">
        <f t="shared" si="1"/>
        <v>7.0138360000000004</v>
      </c>
      <c r="F14">
        <f t="shared" si="2"/>
        <v>16.958492</v>
      </c>
      <c r="G14">
        <f>IFERROR(B14+C14,0)</f>
        <v>19000000</v>
      </c>
      <c r="H14">
        <f>SUM($G$2:G14)</f>
        <v>240817177</v>
      </c>
      <c r="I14">
        <f t="shared" si="3"/>
        <v>200.68098083333334</v>
      </c>
      <c r="J14">
        <f t="shared" si="4"/>
        <v>224.65330883333334</v>
      </c>
      <c r="K14">
        <f t="shared" si="5"/>
        <v>2920.4930148333333</v>
      </c>
    </row>
    <row r="15" spans="1:11">
      <c r="A15">
        <v>14</v>
      </c>
      <c r="B15" s="6">
        <v>6793996</v>
      </c>
      <c r="C15" s="6">
        <v>12206004</v>
      </c>
      <c r="D15">
        <f t="shared" si="0"/>
        <v>4882401.5999999996</v>
      </c>
      <c r="E15">
        <f t="shared" si="1"/>
        <v>8.1373359999999995</v>
      </c>
      <c r="F15">
        <f t="shared" si="2"/>
        <v>13.587992</v>
      </c>
      <c r="G15">
        <f>IFERROR(B15+C15,0)</f>
        <v>19000000</v>
      </c>
      <c r="H15">
        <f>SUM($G$2:G15)</f>
        <v>259817177</v>
      </c>
      <c r="I15">
        <f t="shared" si="3"/>
        <v>216.51431416666665</v>
      </c>
      <c r="J15">
        <f t="shared" si="4"/>
        <v>238.23964216666667</v>
      </c>
      <c r="K15">
        <f t="shared" si="5"/>
        <v>3335.3549903333333</v>
      </c>
    </row>
    <row r="16" spans="1:11">
      <c r="A16">
        <v>15</v>
      </c>
      <c r="B16" s="6">
        <v>6439128</v>
      </c>
      <c r="C16" s="6">
        <v>12560872</v>
      </c>
      <c r="D16">
        <f t="shared" si="0"/>
        <v>5024348.8</v>
      </c>
      <c r="E16">
        <f t="shared" si="1"/>
        <v>8.373914666666666</v>
      </c>
      <c r="F16">
        <f t="shared" si="2"/>
        <v>12.878256</v>
      </c>
      <c r="G16">
        <f>IFERROR(B16+C16,0)</f>
        <v>19000000</v>
      </c>
      <c r="H16">
        <f>SUM($G$2:G16)</f>
        <v>278817177</v>
      </c>
      <c r="I16">
        <f t="shared" si="3"/>
        <v>232.34764750000002</v>
      </c>
      <c r="J16">
        <f t="shared" si="4"/>
        <v>253.59981816666669</v>
      </c>
      <c r="K16">
        <f t="shared" si="5"/>
        <v>3803.9972725000002</v>
      </c>
    </row>
    <row r="17" spans="1:11">
      <c r="A17">
        <v>16</v>
      </c>
      <c r="B17" s="6">
        <v>6937751</v>
      </c>
      <c r="C17" s="6">
        <v>12062249</v>
      </c>
      <c r="D17">
        <f t="shared" si="0"/>
        <v>4824899.5999999996</v>
      </c>
      <c r="E17">
        <f t="shared" si="1"/>
        <v>8.0414993333333324</v>
      </c>
      <c r="F17">
        <f t="shared" si="2"/>
        <v>13.875501999999999</v>
      </c>
      <c r="G17">
        <f>IFERROR(B17+C17,0)</f>
        <v>19000000</v>
      </c>
      <c r="H17">
        <f>SUM($G$2:G17)</f>
        <v>297817177</v>
      </c>
      <c r="I17">
        <f t="shared" si="3"/>
        <v>248.18098083333331</v>
      </c>
      <c r="J17">
        <f t="shared" si="4"/>
        <v>270.09798216666661</v>
      </c>
      <c r="K17">
        <f t="shared" si="5"/>
        <v>4321.5677146666658</v>
      </c>
    </row>
    <row r="18" spans="1:11">
      <c r="A18">
        <v>17</v>
      </c>
      <c r="B18" s="6">
        <v>7177598</v>
      </c>
      <c r="C18" s="6">
        <v>11822402</v>
      </c>
      <c r="D18">
        <f t="shared" si="0"/>
        <v>4728960.8</v>
      </c>
      <c r="E18">
        <f t="shared" si="1"/>
        <v>7.8816013333333332</v>
      </c>
      <c r="F18">
        <f t="shared" si="2"/>
        <v>14.355195999999999</v>
      </c>
      <c r="G18">
        <f>IFERROR(B18+C18,0)</f>
        <v>19000000</v>
      </c>
      <c r="H18">
        <f>SUM($G$2:G18)</f>
        <v>316817177</v>
      </c>
      <c r="I18">
        <f t="shared" si="3"/>
        <v>264.01431416666668</v>
      </c>
      <c r="J18">
        <f t="shared" si="4"/>
        <v>286.25111149999998</v>
      </c>
      <c r="K18">
        <f t="shared" si="5"/>
        <v>4866.2688954999994</v>
      </c>
    </row>
    <row r="19" spans="1:11">
      <c r="A19">
        <v>18</v>
      </c>
      <c r="B19" s="6">
        <v>6875401</v>
      </c>
      <c r="C19" s="6">
        <v>12124599</v>
      </c>
      <c r="D19">
        <f t="shared" si="0"/>
        <v>4849839.5999999996</v>
      </c>
      <c r="E19">
        <f t="shared" si="1"/>
        <v>8.0830659999999988</v>
      </c>
      <c r="F19">
        <f t="shared" si="2"/>
        <v>13.750802</v>
      </c>
      <c r="G19">
        <f>IFERROR(B19+C19,0)</f>
        <v>19000000</v>
      </c>
      <c r="H19">
        <f>SUM($G$2:G19)</f>
        <v>335817177</v>
      </c>
      <c r="I19">
        <f t="shared" si="3"/>
        <v>279.84764749999999</v>
      </c>
      <c r="J19">
        <f t="shared" si="4"/>
        <v>301.68151549999999</v>
      </c>
      <c r="K19">
        <f t="shared" si="5"/>
        <v>5430.2672789999997</v>
      </c>
    </row>
    <row r="20" spans="1:11">
      <c r="A20">
        <v>19</v>
      </c>
      <c r="B20" s="6">
        <v>6391448</v>
      </c>
      <c r="C20" s="6">
        <v>12608552</v>
      </c>
      <c r="D20">
        <f t="shared" si="0"/>
        <v>5043420.8</v>
      </c>
      <c r="E20">
        <f t="shared" si="1"/>
        <v>8.405701333333333</v>
      </c>
      <c r="F20">
        <f t="shared" si="2"/>
        <v>12.782895999999999</v>
      </c>
      <c r="G20">
        <f>IFERROR(B20+C20,0)</f>
        <v>19000000</v>
      </c>
      <c r="H20">
        <f>SUM($G$2:G20)</f>
        <v>354817177</v>
      </c>
      <c r="I20">
        <f t="shared" si="3"/>
        <v>295.68098083333336</v>
      </c>
      <c r="J20">
        <f t="shared" si="4"/>
        <v>316.86957816666671</v>
      </c>
      <c r="K20">
        <f t="shared" si="5"/>
        <v>6020.5219851666679</v>
      </c>
    </row>
    <row r="21" spans="1:11">
      <c r="A21">
        <v>20</v>
      </c>
      <c r="B21" s="6">
        <v>5863374</v>
      </c>
      <c r="C21" s="6">
        <v>13136626</v>
      </c>
      <c r="D21">
        <f t="shared" si="0"/>
        <v>5254650.4000000004</v>
      </c>
      <c r="E21">
        <f t="shared" si="1"/>
        <v>8.7577506666666665</v>
      </c>
      <c r="F21">
        <f t="shared" si="2"/>
        <v>11.726748000000001</v>
      </c>
      <c r="G21">
        <f>IFERROR(B21+C21,0)</f>
        <v>19000000</v>
      </c>
      <c r="H21">
        <f>SUM($G$2:G21)</f>
        <v>373817177</v>
      </c>
      <c r="I21">
        <f t="shared" si="3"/>
        <v>311.51431416666668</v>
      </c>
      <c r="J21">
        <f t="shared" si="4"/>
        <v>331.99881283333332</v>
      </c>
      <c r="K21">
        <f t="shared" si="5"/>
        <v>6639.9762566666668</v>
      </c>
    </row>
    <row r="22" spans="1:11">
      <c r="A22">
        <v>21</v>
      </c>
      <c r="B22" s="6">
        <v>5673848</v>
      </c>
      <c r="C22" s="6">
        <v>13326152</v>
      </c>
      <c r="D22">
        <f t="shared" si="0"/>
        <v>5330460.8</v>
      </c>
      <c r="E22">
        <f t="shared" si="1"/>
        <v>8.8841013333333336</v>
      </c>
      <c r="F22">
        <f t="shared" si="2"/>
        <v>11.347695999999999</v>
      </c>
      <c r="G22">
        <f>IFERROR(B22+C22,0)</f>
        <v>19000000</v>
      </c>
      <c r="H22">
        <f>SUM($G$2:G22)</f>
        <v>392817177</v>
      </c>
      <c r="I22">
        <f t="shared" si="3"/>
        <v>327.34764749999999</v>
      </c>
      <c r="J22">
        <f t="shared" si="4"/>
        <v>347.5794448333333</v>
      </c>
      <c r="K22">
        <f t="shared" si="5"/>
        <v>7299.1683414999989</v>
      </c>
    </row>
    <row r="23" spans="1:11">
      <c r="A23">
        <v>22</v>
      </c>
      <c r="B23" s="6">
        <v>5519599</v>
      </c>
      <c r="C23" s="6">
        <v>13480401</v>
      </c>
      <c r="D23">
        <f t="shared" si="0"/>
        <v>5392160.4000000004</v>
      </c>
      <c r="E23">
        <f t="shared" si="1"/>
        <v>8.9869340000000015</v>
      </c>
      <c r="F23">
        <f t="shared" si="2"/>
        <v>11.039198000000001</v>
      </c>
      <c r="G23">
        <f>IFERROR(B23+C23,0)</f>
        <v>19000000</v>
      </c>
      <c r="H23">
        <f>SUM($G$2:G23)</f>
        <v>411817177</v>
      </c>
      <c r="I23">
        <f t="shared" si="3"/>
        <v>343.18098083333336</v>
      </c>
      <c r="J23">
        <f t="shared" si="4"/>
        <v>363.20711283333338</v>
      </c>
      <c r="K23">
        <f t="shared" si="5"/>
        <v>7990.5564823333343</v>
      </c>
    </row>
    <row r="24" spans="1:11">
      <c r="A24">
        <v>23</v>
      </c>
      <c r="B24" s="6">
        <v>5431616</v>
      </c>
      <c r="C24" s="6">
        <v>13568384</v>
      </c>
      <c r="D24">
        <f t="shared" si="0"/>
        <v>5427353.5999999996</v>
      </c>
      <c r="E24">
        <f t="shared" si="1"/>
        <v>9.0455893333333321</v>
      </c>
      <c r="F24">
        <f t="shared" si="2"/>
        <v>10.863232</v>
      </c>
      <c r="G24">
        <f>IFERROR(B24+C24,0)</f>
        <v>19000000</v>
      </c>
      <c r="H24">
        <f>SUM($G$2:G24)</f>
        <v>430817177</v>
      </c>
      <c r="I24">
        <f t="shared" si="3"/>
        <v>359.01431416666668</v>
      </c>
      <c r="J24">
        <f t="shared" si="4"/>
        <v>378.9231355</v>
      </c>
      <c r="K24">
        <f t="shared" si="5"/>
        <v>8715.2321164999994</v>
      </c>
    </row>
    <row r="25" spans="1:11">
      <c r="A25">
        <v>24</v>
      </c>
      <c r="B25" s="6">
        <v>5153083</v>
      </c>
      <c r="C25" s="6">
        <v>13846917</v>
      </c>
      <c r="D25">
        <f t="shared" si="0"/>
        <v>5538766.7999999998</v>
      </c>
      <c r="E25">
        <f t="shared" si="1"/>
        <v>9.2312779999999997</v>
      </c>
      <c r="F25">
        <f t="shared" si="2"/>
        <v>10.306165999999999</v>
      </c>
      <c r="G25">
        <f>IFERROR(B25+C25,0)</f>
        <v>19000000</v>
      </c>
      <c r="H25">
        <f>SUM($G$2:G25)</f>
        <v>449817177</v>
      </c>
      <c r="I25">
        <f t="shared" si="3"/>
        <v>374.84764749999999</v>
      </c>
      <c r="J25">
        <f t="shared" si="4"/>
        <v>394.38509149999999</v>
      </c>
      <c r="K25">
        <f t="shared" si="5"/>
        <v>9465.2421959999992</v>
      </c>
    </row>
    <row r="26" spans="1:11">
      <c r="A26">
        <v>25</v>
      </c>
      <c r="B26" s="6">
        <v>6884429</v>
      </c>
      <c r="C26" s="6">
        <v>12115571</v>
      </c>
      <c r="D26">
        <f t="shared" si="0"/>
        <v>4846228.4000000004</v>
      </c>
      <c r="E26">
        <f t="shared" si="1"/>
        <v>8.0770473333333346</v>
      </c>
      <c r="F26">
        <f t="shared" si="2"/>
        <v>13.768858</v>
      </c>
      <c r="G26">
        <f>IFERROR(B26+C26,0)</f>
        <v>19000000</v>
      </c>
      <c r="H26">
        <f>SUM($G$2:G26)</f>
        <v>468817177</v>
      </c>
      <c r="I26">
        <f t="shared" si="3"/>
        <v>390.68098083333336</v>
      </c>
      <c r="J26">
        <f t="shared" si="4"/>
        <v>412.52688616666671</v>
      </c>
      <c r="K26">
        <f t="shared" si="5"/>
        <v>10313.172154166668</v>
      </c>
    </row>
    <row r="27" spans="1:11">
      <c r="A27">
        <v>26</v>
      </c>
      <c r="B27" s="6">
        <v>4943998</v>
      </c>
      <c r="C27" s="6">
        <v>7439465</v>
      </c>
      <c r="D27">
        <f t="shared" si="0"/>
        <v>2975786</v>
      </c>
      <c r="E27">
        <f t="shared" si="1"/>
        <v>4.9596433333333332</v>
      </c>
      <c r="F27">
        <f t="shared" si="2"/>
        <v>9.8879959999999993</v>
      </c>
      <c r="G27">
        <f t="shared" ref="G27:G28" si="6">IFERROR(B27+C27,0)</f>
        <v>12383463</v>
      </c>
      <c r="H27">
        <f>SUM($G$2:G27)</f>
        <v>481200640</v>
      </c>
      <c r="I27">
        <f t="shared" si="3"/>
        <v>401.00053333333335</v>
      </c>
      <c r="J27">
        <f t="shared" si="4"/>
        <v>415.8481726666667</v>
      </c>
      <c r="K27">
        <f t="shared" si="5"/>
        <v>10812.052489333335</v>
      </c>
    </row>
    <row r="28" spans="1:11">
      <c r="B28" s="6"/>
      <c r="C28" s="6"/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259366401</v>
      </c>
    </row>
    <row r="37" spans="1:10">
      <c r="H37" s="14" t="s">
        <v>37</v>
      </c>
      <c r="I37" t="s">
        <v>2</v>
      </c>
      <c r="J37" s="15">
        <f>MAX(K2:K33)</f>
        <v>10812.052489333335</v>
      </c>
    </row>
    <row r="38" spans="1:10">
      <c r="I38" t="s">
        <v>3</v>
      </c>
      <c r="J38" s="15">
        <f>MAX(J2:J33)</f>
        <v>415.8481726666667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>
        <v>1</v>
      </c>
      <c r="B57" s="6">
        <v>11400000</v>
      </c>
      <c r="C57" s="6">
        <v>6747106</v>
      </c>
      <c r="D57" s="6">
        <v>0.59</v>
      </c>
      <c r="E57" s="6">
        <v>2.2464</v>
      </c>
      <c r="F57" s="6">
        <v>906171926</v>
      </c>
      <c r="G57" s="6">
        <v>823792660</v>
      </c>
    </row>
    <row r="58" spans="1:9">
      <c r="A58" s="6">
        <v>2</v>
      </c>
      <c r="B58" s="6">
        <v>11400000</v>
      </c>
      <c r="C58" s="6">
        <v>6910032</v>
      </c>
      <c r="D58" s="6">
        <v>0.61</v>
      </c>
      <c r="E58" s="6">
        <v>1.7828999999999999</v>
      </c>
      <c r="F58" s="6">
        <v>661125310</v>
      </c>
      <c r="G58" s="6">
        <v>546384554</v>
      </c>
    </row>
    <row r="59" spans="1:9">
      <c r="A59" s="6">
        <v>3</v>
      </c>
      <c r="B59" s="6">
        <v>11319271</v>
      </c>
      <c r="C59" s="6">
        <v>7680729</v>
      </c>
      <c r="D59" s="6">
        <v>0.68</v>
      </c>
      <c r="E59" s="6">
        <v>2.2665999999999999</v>
      </c>
      <c r="F59" s="6">
        <v>907136664</v>
      </c>
      <c r="G59" s="6">
        <v>681545202</v>
      </c>
    </row>
    <row r="60" spans="1:9">
      <c r="A60" s="6">
        <v>4</v>
      </c>
      <c r="B60" s="6">
        <v>10767982</v>
      </c>
      <c r="C60" s="6">
        <v>8232018</v>
      </c>
      <c r="D60" s="6">
        <v>0.76</v>
      </c>
      <c r="E60" s="6">
        <v>2.5306999999999999</v>
      </c>
      <c r="F60" s="6">
        <v>991526018</v>
      </c>
      <c r="G60" s="6">
        <v>677225612</v>
      </c>
    </row>
    <row r="61" spans="1:9">
      <c r="A61" s="6">
        <v>5</v>
      </c>
      <c r="B61" s="6">
        <v>10200518</v>
      </c>
      <c r="C61" s="6">
        <v>8799482</v>
      </c>
      <c r="D61" s="6">
        <v>0.86</v>
      </c>
      <c r="E61" s="6">
        <v>2.4670000000000001</v>
      </c>
      <c r="F61" s="6">
        <v>905911422</v>
      </c>
      <c r="G61" s="6">
        <v>562499719</v>
      </c>
    </row>
    <row r="62" spans="1:9">
      <c r="A62" s="6">
        <v>6</v>
      </c>
      <c r="B62" s="6">
        <v>11400000</v>
      </c>
      <c r="C62" s="6">
        <v>6967223</v>
      </c>
      <c r="D62" s="6">
        <v>0.61</v>
      </c>
      <c r="E62" s="6">
        <v>2.4596</v>
      </c>
      <c r="F62" s="6">
        <v>1017959160</v>
      </c>
      <c r="G62" s="6">
        <v>574611408</v>
      </c>
    </row>
    <row r="63" spans="1:9">
      <c r="A63" s="6">
        <v>7</v>
      </c>
      <c r="B63" s="6">
        <v>11400000</v>
      </c>
      <c r="C63" s="6">
        <v>5884104</v>
      </c>
      <c r="D63" s="6">
        <v>0.52</v>
      </c>
      <c r="E63" s="6">
        <v>2.3610000000000002</v>
      </c>
      <c r="F63" s="6">
        <v>969482205</v>
      </c>
      <c r="G63" s="6">
        <v>497497664</v>
      </c>
    </row>
    <row r="64" spans="1:9">
      <c r="A64" s="6">
        <v>8</v>
      </c>
      <c r="B64" s="6">
        <v>11400000</v>
      </c>
      <c r="C64" s="6">
        <v>7365120</v>
      </c>
      <c r="D64" s="6">
        <v>0.65</v>
      </c>
      <c r="E64" s="6">
        <v>2.3567999999999998</v>
      </c>
      <c r="F64" s="6">
        <v>962409713</v>
      </c>
      <c r="G64" s="6">
        <v>448971234</v>
      </c>
    </row>
    <row r="65" spans="1:7">
      <c r="A65" s="6">
        <v>9</v>
      </c>
      <c r="B65" s="6">
        <v>11400000</v>
      </c>
      <c r="C65" s="6">
        <v>5543592</v>
      </c>
      <c r="D65" s="6">
        <v>0.49</v>
      </c>
      <c r="E65" s="6">
        <v>2.4592000000000001</v>
      </c>
      <c r="F65" s="6">
        <v>1022407655</v>
      </c>
      <c r="G65" s="6">
        <v>433600651</v>
      </c>
    </row>
    <row r="66" spans="1:7">
      <c r="A66" s="6">
        <v>10</v>
      </c>
      <c r="B66" s="6">
        <v>11399830</v>
      </c>
      <c r="C66" s="6">
        <v>7600170</v>
      </c>
      <c r="D66" s="6">
        <v>0.67</v>
      </c>
      <c r="E66" s="6">
        <v>2.4912000000000001</v>
      </c>
      <c r="F66" s="6">
        <v>1032555090</v>
      </c>
      <c r="G66" s="6">
        <v>398094686</v>
      </c>
    </row>
    <row r="67" spans="1:7">
      <c r="A67" s="6">
        <v>11</v>
      </c>
      <c r="B67" s="6">
        <v>11397240</v>
      </c>
      <c r="C67" s="6">
        <v>7602760</v>
      </c>
      <c r="D67" s="6">
        <v>0.67</v>
      </c>
      <c r="E67" s="6">
        <v>2.8589000000000002</v>
      </c>
      <c r="F67" s="6">
        <v>1226220993</v>
      </c>
      <c r="G67" s="6">
        <v>429782977</v>
      </c>
    </row>
    <row r="68" spans="1:7">
      <c r="A68" s="6">
        <v>12</v>
      </c>
      <c r="B68" s="6">
        <v>9784883</v>
      </c>
      <c r="C68" s="6">
        <v>9215117</v>
      </c>
      <c r="D68" s="6">
        <v>0.94</v>
      </c>
      <c r="E68" s="6">
        <v>0.99470000000000003</v>
      </c>
      <c r="F68" s="6">
        <v>199762512</v>
      </c>
      <c r="G68" s="6">
        <v>63650492</v>
      </c>
    </row>
    <row r="69" spans="1:7">
      <c r="A69" s="6">
        <v>13</v>
      </c>
      <c r="B69" s="6">
        <v>8479246</v>
      </c>
      <c r="C69" s="6">
        <v>10520754</v>
      </c>
      <c r="D69" s="6">
        <v>1.24</v>
      </c>
      <c r="E69" s="6">
        <v>1.1849000000000001</v>
      </c>
      <c r="F69" s="6">
        <v>239428612</v>
      </c>
      <c r="G69" s="6">
        <v>69353940</v>
      </c>
    </row>
    <row r="70" spans="1:7">
      <c r="A70" s="6">
        <v>14</v>
      </c>
      <c r="B70" s="6">
        <v>6793996</v>
      </c>
      <c r="C70" s="6">
        <v>12206004</v>
      </c>
      <c r="D70" s="6">
        <v>1.8</v>
      </c>
      <c r="E70" s="6">
        <v>1.1254</v>
      </c>
      <c r="F70" s="6">
        <v>160746266</v>
      </c>
      <c r="G70" s="6">
        <v>42329516</v>
      </c>
    </row>
    <row r="71" spans="1:7">
      <c r="A71" s="6">
        <v>15</v>
      </c>
      <c r="B71" s="6">
        <v>6439128</v>
      </c>
      <c r="C71" s="6">
        <v>12560872</v>
      </c>
      <c r="D71" s="6">
        <v>1.95</v>
      </c>
      <c r="E71" s="6">
        <v>1.0913999999999999</v>
      </c>
      <c r="F71" s="6">
        <v>138957855</v>
      </c>
      <c r="G71" s="6">
        <v>33265406</v>
      </c>
    </row>
    <row r="72" spans="1:7">
      <c r="A72" s="6">
        <v>16</v>
      </c>
      <c r="B72" s="6">
        <v>6937751</v>
      </c>
      <c r="C72" s="6">
        <v>12062249</v>
      </c>
      <c r="D72" s="6">
        <v>1.74</v>
      </c>
      <c r="E72" s="6">
        <v>1.1830000000000001</v>
      </c>
      <c r="F72" s="6">
        <v>183962692</v>
      </c>
      <c r="G72" s="6">
        <v>40035642</v>
      </c>
    </row>
    <row r="73" spans="1:7">
      <c r="A73" s="6">
        <v>17</v>
      </c>
      <c r="B73" s="6">
        <v>7177598</v>
      </c>
      <c r="C73" s="6">
        <v>11822402</v>
      </c>
      <c r="D73" s="6">
        <v>1.65</v>
      </c>
      <c r="E73" s="6">
        <v>1.2102999999999999</v>
      </c>
      <c r="F73" s="6">
        <v>201534116</v>
      </c>
      <c r="G73" s="6">
        <v>39872450</v>
      </c>
    </row>
    <row r="74" spans="1:7">
      <c r="A74" s="6">
        <v>18</v>
      </c>
      <c r="B74" s="6">
        <v>6875401</v>
      </c>
      <c r="C74" s="6">
        <v>12124599</v>
      </c>
      <c r="D74" s="6">
        <v>1.76</v>
      </c>
      <c r="E74" s="6">
        <v>1.2357</v>
      </c>
      <c r="F74" s="6">
        <v>198520536</v>
      </c>
      <c r="G74" s="6">
        <v>35705663</v>
      </c>
    </row>
    <row r="75" spans="1:7">
      <c r="A75" s="6">
        <v>19</v>
      </c>
      <c r="B75" s="6">
        <v>6391448</v>
      </c>
      <c r="C75" s="6">
        <v>12608552</v>
      </c>
      <c r="D75" s="6">
        <v>1.97</v>
      </c>
      <c r="E75" s="6">
        <v>1.2587999999999999</v>
      </c>
      <c r="F75" s="6">
        <v>186976676</v>
      </c>
      <c r="G75" s="6">
        <v>30572181</v>
      </c>
    </row>
    <row r="76" spans="1:7">
      <c r="A76" s="6">
        <v>20</v>
      </c>
      <c r="B76" s="6">
        <v>5863374</v>
      </c>
      <c r="C76" s="6">
        <v>13136626</v>
      </c>
      <c r="D76" s="6">
        <v>2.2400000000000002</v>
      </c>
      <c r="E76" s="6">
        <v>1.276</v>
      </c>
      <c r="F76" s="6">
        <v>171048748</v>
      </c>
      <c r="G76" s="6">
        <v>25425306</v>
      </c>
    </row>
    <row r="77" spans="1:7">
      <c r="A77" s="6">
        <v>21</v>
      </c>
      <c r="B77" s="6">
        <v>5673848</v>
      </c>
      <c r="C77" s="6">
        <v>13326152</v>
      </c>
      <c r="D77" s="6">
        <v>2.35</v>
      </c>
      <c r="E77" s="6">
        <v>1.3542000000000001</v>
      </c>
      <c r="F77" s="6">
        <v>184057571</v>
      </c>
      <c r="G77" s="6">
        <v>24871805</v>
      </c>
    </row>
    <row r="78" spans="1:7">
      <c r="A78" s="6">
        <v>22</v>
      </c>
      <c r="B78" s="6">
        <v>5519599</v>
      </c>
      <c r="C78" s="6">
        <v>13480401</v>
      </c>
      <c r="D78" s="6">
        <v>2.44</v>
      </c>
      <c r="E78" s="6">
        <v>1.4724999999999999</v>
      </c>
      <c r="F78" s="6">
        <v>207568272</v>
      </c>
      <c r="G78" s="6">
        <v>25498926</v>
      </c>
    </row>
    <row r="79" spans="1:7">
      <c r="A79" s="6">
        <v>23</v>
      </c>
      <c r="B79" s="6">
        <v>5431616</v>
      </c>
      <c r="C79" s="6">
        <v>13568384</v>
      </c>
      <c r="D79" s="6">
        <v>2.5</v>
      </c>
      <c r="E79" s="6">
        <v>1.6036999999999999</v>
      </c>
      <c r="F79" s="6">
        <v>236249802</v>
      </c>
      <c r="G79" s="6">
        <v>26383943</v>
      </c>
    </row>
    <row r="80" spans="1:7">
      <c r="A80" s="6">
        <v>24</v>
      </c>
      <c r="B80" s="6">
        <v>5153083</v>
      </c>
      <c r="C80" s="6">
        <v>13846917</v>
      </c>
      <c r="D80" s="6">
        <v>2.69</v>
      </c>
      <c r="E80" s="6">
        <v>1.8487</v>
      </c>
      <c r="F80" s="6">
        <v>279373131</v>
      </c>
      <c r="G80" s="6">
        <v>28363524</v>
      </c>
    </row>
    <row r="81" spans="1:7">
      <c r="A81" s="6">
        <v>25</v>
      </c>
      <c r="B81" s="6">
        <v>6884429</v>
      </c>
      <c r="C81" s="6">
        <v>12115571</v>
      </c>
      <c r="D81" s="6">
        <v>1.76</v>
      </c>
      <c r="E81" s="6">
        <v>1.7657</v>
      </c>
      <c r="F81" s="6">
        <v>367716943</v>
      </c>
      <c r="G81" s="6">
        <v>33938802</v>
      </c>
    </row>
    <row r="82" spans="1:7">
      <c r="A82" s="6">
        <v>26</v>
      </c>
      <c r="B82" s="6">
        <v>4943998</v>
      </c>
      <c r="C82" s="6">
        <v>7439465</v>
      </c>
      <c r="D82" s="6">
        <v>1.5</v>
      </c>
      <c r="E82" s="6">
        <v>2.3323999999999998</v>
      </c>
      <c r="F82" s="6">
        <v>397874171</v>
      </c>
      <c r="G82" s="6">
        <v>34510438</v>
      </c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0"/>
  <sheetViews>
    <sheetView topLeftCell="B1" workbookViewId="0">
      <selection activeCell="F34" sqref="F34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9600000</v>
      </c>
      <c r="C2" s="6">
        <v>5625539</v>
      </c>
      <c r="D2">
        <f>C2/2.5</f>
        <v>2250215.6</v>
      </c>
      <c r="E2">
        <f>(D2/60)/10000</f>
        <v>3.7503593333333338</v>
      </c>
      <c r="F2">
        <f>(B2*2)/1000000</f>
        <v>19.2</v>
      </c>
      <c r="G2">
        <f>IFERROR(B2+C2,0)</f>
        <v>15225539</v>
      </c>
      <c r="H2">
        <f>SUM($G$2:G2)</f>
        <v>15225539</v>
      </c>
      <c r="I2">
        <f>((H2/2.5)/48)/10000</f>
        <v>12.687949166666666</v>
      </c>
      <c r="J2">
        <f>I2+F2+E2</f>
        <v>35.638308500000001</v>
      </c>
      <c r="K2">
        <f>A2*J2</f>
        <v>35.638308500000001</v>
      </c>
    </row>
    <row r="3" spans="1:11">
      <c r="A3">
        <v>2</v>
      </c>
      <c r="B3" s="6">
        <v>9600000</v>
      </c>
      <c r="C3" s="6">
        <v>5706793</v>
      </c>
      <c r="D3">
        <f t="shared" ref="D3:D29" si="0">C3/2.5</f>
        <v>2282717.2000000002</v>
      </c>
      <c r="E3">
        <f t="shared" ref="E3:E29" si="1">(D3/60)/10000</f>
        <v>3.8045286666666667</v>
      </c>
      <c r="F3">
        <f t="shared" ref="F3:F34" si="2">(B3*2)/1000000</f>
        <v>19.2</v>
      </c>
      <c r="G3">
        <f>IFERROR(B3+C3,0)</f>
        <v>15306793</v>
      </c>
      <c r="H3">
        <f>SUM($G$2:G3)</f>
        <v>30532332</v>
      </c>
      <c r="I3">
        <f t="shared" ref="I3:I29" si="3">((H3/2.5)/48)/10000</f>
        <v>25.44361</v>
      </c>
      <c r="J3">
        <f t="shared" ref="J3:J27" si="4">I3+F3+E3</f>
        <v>48.448138666666665</v>
      </c>
      <c r="K3">
        <f t="shared" ref="K3:K27" si="5">A3*J3</f>
        <v>96.89627733333333</v>
      </c>
    </row>
    <row r="4" spans="1:11">
      <c r="A4">
        <v>3</v>
      </c>
      <c r="B4" s="6">
        <v>9600000</v>
      </c>
      <c r="C4" s="6">
        <v>6219137</v>
      </c>
      <c r="D4">
        <f t="shared" si="0"/>
        <v>2487654.7999999998</v>
      </c>
      <c r="E4">
        <f t="shared" si="1"/>
        <v>4.1460913333333327</v>
      </c>
      <c r="F4">
        <f t="shared" si="2"/>
        <v>19.2</v>
      </c>
      <c r="G4">
        <f>IFERROR(B4+C4,0)</f>
        <v>15819137</v>
      </c>
      <c r="H4">
        <f>SUM($G$2:G4)</f>
        <v>46351469</v>
      </c>
      <c r="I4">
        <f t="shared" si="3"/>
        <v>38.626224166666667</v>
      </c>
      <c r="J4">
        <f t="shared" si="4"/>
        <v>61.972315499999993</v>
      </c>
      <c r="K4">
        <f t="shared" si="5"/>
        <v>185.91694649999999</v>
      </c>
    </row>
    <row r="5" spans="1:11">
      <c r="A5">
        <v>4</v>
      </c>
      <c r="B5" s="6">
        <v>9454100</v>
      </c>
      <c r="C5" s="6">
        <v>6545900</v>
      </c>
      <c r="D5">
        <f t="shared" si="0"/>
        <v>2618360</v>
      </c>
      <c r="E5">
        <f t="shared" si="1"/>
        <v>4.3639333333333337</v>
      </c>
      <c r="F5">
        <f t="shared" si="2"/>
        <v>18.908200000000001</v>
      </c>
      <c r="G5">
        <f>IFERROR(B5+C5,0)</f>
        <v>16000000</v>
      </c>
      <c r="H5">
        <f>SUM($G$2:G5)</f>
        <v>62351469</v>
      </c>
      <c r="I5">
        <f t="shared" si="3"/>
        <v>51.959557500000003</v>
      </c>
      <c r="J5">
        <f t="shared" si="4"/>
        <v>75.231690833333346</v>
      </c>
      <c r="K5">
        <f t="shared" si="5"/>
        <v>300.92676333333338</v>
      </c>
    </row>
    <row r="6" spans="1:11">
      <c r="A6">
        <v>5</v>
      </c>
      <c r="B6" s="6">
        <v>8800856</v>
      </c>
      <c r="C6" s="6">
        <v>7199144</v>
      </c>
      <c r="D6">
        <f t="shared" si="0"/>
        <v>2879657.6</v>
      </c>
      <c r="E6">
        <f t="shared" si="1"/>
        <v>4.7994293333333333</v>
      </c>
      <c r="F6">
        <f t="shared" si="2"/>
        <v>17.601711999999999</v>
      </c>
      <c r="G6">
        <f>IFERROR(B6+C6,0)</f>
        <v>16000000</v>
      </c>
      <c r="H6">
        <f>SUM($G$2:G6)</f>
        <v>78351469</v>
      </c>
      <c r="I6">
        <f t="shared" si="3"/>
        <v>65.292890833333331</v>
      </c>
      <c r="J6">
        <f t="shared" si="4"/>
        <v>87.694032166666659</v>
      </c>
      <c r="K6">
        <f t="shared" si="5"/>
        <v>438.4701608333333</v>
      </c>
    </row>
    <row r="7" spans="1:11">
      <c r="A7">
        <v>6</v>
      </c>
      <c r="B7" s="6">
        <v>8724252</v>
      </c>
      <c r="C7" s="6">
        <v>7275748</v>
      </c>
      <c r="D7">
        <f t="shared" si="0"/>
        <v>2910299.2</v>
      </c>
      <c r="E7">
        <f t="shared" si="1"/>
        <v>4.8504986666666667</v>
      </c>
      <c r="F7">
        <f t="shared" si="2"/>
        <v>17.448504</v>
      </c>
      <c r="G7">
        <f>IFERROR(B7+C7,0)</f>
        <v>16000000</v>
      </c>
      <c r="H7">
        <f>SUM($G$2:G7)</f>
        <v>94351469</v>
      </c>
      <c r="I7">
        <f t="shared" si="3"/>
        <v>78.626224166666674</v>
      </c>
      <c r="J7">
        <f t="shared" si="4"/>
        <v>100.92522683333334</v>
      </c>
      <c r="K7">
        <f t="shared" si="5"/>
        <v>605.55136100000004</v>
      </c>
    </row>
    <row r="8" spans="1:11">
      <c r="A8">
        <v>7</v>
      </c>
      <c r="B8" s="6">
        <v>9600000</v>
      </c>
      <c r="C8" s="6">
        <v>5840690</v>
      </c>
      <c r="D8">
        <f t="shared" si="0"/>
        <v>2336276</v>
      </c>
      <c r="E8">
        <f t="shared" si="1"/>
        <v>3.8937933333333334</v>
      </c>
      <c r="F8">
        <f t="shared" si="2"/>
        <v>19.2</v>
      </c>
      <c r="G8">
        <f>IFERROR(B8+C8,0)</f>
        <v>15440690</v>
      </c>
      <c r="H8">
        <f>SUM($G$2:G8)</f>
        <v>109792159</v>
      </c>
      <c r="I8">
        <f t="shared" si="3"/>
        <v>91.493465833333332</v>
      </c>
      <c r="J8">
        <f t="shared" si="4"/>
        <v>114.58725916666667</v>
      </c>
      <c r="K8">
        <f t="shared" si="5"/>
        <v>802.11081416666673</v>
      </c>
    </row>
    <row r="9" spans="1:11">
      <c r="A9">
        <v>8</v>
      </c>
      <c r="B9" s="6">
        <v>9600000</v>
      </c>
      <c r="C9" s="6">
        <v>4845211</v>
      </c>
      <c r="D9">
        <f t="shared" si="0"/>
        <v>1938084.4</v>
      </c>
      <c r="E9">
        <f t="shared" si="1"/>
        <v>3.2301406666666668</v>
      </c>
      <c r="F9">
        <f t="shared" si="2"/>
        <v>19.2</v>
      </c>
      <c r="G9">
        <f>IFERROR(B9+C9,0)</f>
        <v>14445211</v>
      </c>
      <c r="H9">
        <f>SUM($G$2:G9)</f>
        <v>124237370</v>
      </c>
      <c r="I9">
        <f t="shared" si="3"/>
        <v>103.53114166666666</v>
      </c>
      <c r="J9">
        <f t="shared" si="4"/>
        <v>125.96128233333333</v>
      </c>
      <c r="K9">
        <f t="shared" si="5"/>
        <v>1007.6902586666666</v>
      </c>
    </row>
    <row r="10" spans="1:11">
      <c r="A10">
        <v>9</v>
      </c>
      <c r="B10" s="6">
        <v>9600000</v>
      </c>
      <c r="C10" s="6">
        <v>4827335</v>
      </c>
      <c r="D10">
        <f t="shared" si="0"/>
        <v>1930934</v>
      </c>
      <c r="E10">
        <f t="shared" si="1"/>
        <v>3.2182233333333334</v>
      </c>
      <c r="F10">
        <f t="shared" si="2"/>
        <v>19.2</v>
      </c>
      <c r="G10">
        <f>IFERROR(B10+C10,0)</f>
        <v>14427335</v>
      </c>
      <c r="H10">
        <f>SUM($G$2:G10)</f>
        <v>138664705</v>
      </c>
      <c r="I10">
        <f t="shared" si="3"/>
        <v>115.55392083333332</v>
      </c>
      <c r="J10">
        <f t="shared" si="4"/>
        <v>137.97214416666665</v>
      </c>
      <c r="K10">
        <f t="shared" si="5"/>
        <v>1241.7492974999998</v>
      </c>
    </row>
    <row r="11" spans="1:11">
      <c r="A11">
        <v>10</v>
      </c>
      <c r="B11" s="6">
        <v>9600000</v>
      </c>
      <c r="C11" s="6">
        <v>4660960</v>
      </c>
      <c r="D11">
        <f t="shared" si="0"/>
        <v>1864384</v>
      </c>
      <c r="E11">
        <f t="shared" si="1"/>
        <v>3.1073066666666667</v>
      </c>
      <c r="F11">
        <f t="shared" si="2"/>
        <v>19.2</v>
      </c>
      <c r="G11">
        <f>IFERROR(B11+C11,0)</f>
        <v>14260960</v>
      </c>
      <c r="H11">
        <f>SUM($G$2:G11)</f>
        <v>152925665</v>
      </c>
      <c r="I11">
        <f t="shared" si="3"/>
        <v>127.43805416666667</v>
      </c>
      <c r="J11">
        <f t="shared" si="4"/>
        <v>149.74536083333334</v>
      </c>
      <c r="K11">
        <f t="shared" si="5"/>
        <v>1497.4536083333332</v>
      </c>
    </row>
    <row r="12" spans="1:11">
      <c r="A12">
        <v>11</v>
      </c>
      <c r="B12" s="6">
        <v>9600000</v>
      </c>
      <c r="C12" s="6">
        <v>5780301</v>
      </c>
      <c r="D12">
        <f t="shared" si="0"/>
        <v>2312120.4</v>
      </c>
      <c r="E12">
        <f t="shared" si="1"/>
        <v>3.8535339999999998</v>
      </c>
      <c r="F12">
        <f t="shared" si="2"/>
        <v>19.2</v>
      </c>
      <c r="G12">
        <f>IFERROR(B12+C12,0)</f>
        <v>15380301</v>
      </c>
      <c r="H12">
        <f>SUM($G$2:G12)</f>
        <v>168305966</v>
      </c>
      <c r="I12">
        <f t="shared" si="3"/>
        <v>140.25497166666668</v>
      </c>
      <c r="J12">
        <f t="shared" si="4"/>
        <v>163.30850566666666</v>
      </c>
      <c r="K12">
        <f t="shared" si="5"/>
        <v>1796.3935623333332</v>
      </c>
    </row>
    <row r="13" spans="1:11">
      <c r="A13">
        <v>12</v>
      </c>
      <c r="B13" s="6">
        <v>9600000</v>
      </c>
      <c r="C13" s="6">
        <v>6094455</v>
      </c>
      <c r="D13">
        <f t="shared" si="0"/>
        <v>2437782</v>
      </c>
      <c r="E13">
        <f t="shared" si="1"/>
        <v>4.06297</v>
      </c>
      <c r="F13">
        <f t="shared" si="2"/>
        <v>19.2</v>
      </c>
      <c r="G13">
        <f>IFERROR(B13+C13,0)</f>
        <v>15694455</v>
      </c>
      <c r="H13">
        <f>SUM($G$2:G13)</f>
        <v>184000421</v>
      </c>
      <c r="I13">
        <f t="shared" si="3"/>
        <v>153.33368416666667</v>
      </c>
      <c r="J13">
        <f t="shared" si="4"/>
        <v>176.59665416666667</v>
      </c>
      <c r="K13">
        <f t="shared" si="5"/>
        <v>2119.15985</v>
      </c>
    </row>
    <row r="14" spans="1:11">
      <c r="A14">
        <v>13</v>
      </c>
      <c r="B14" s="6">
        <v>9600000</v>
      </c>
      <c r="C14" s="6">
        <v>6395457</v>
      </c>
      <c r="D14">
        <f t="shared" si="0"/>
        <v>2558182.7999999998</v>
      </c>
      <c r="E14">
        <f t="shared" si="1"/>
        <v>4.2636379999999994</v>
      </c>
      <c r="F14">
        <f t="shared" si="2"/>
        <v>19.2</v>
      </c>
      <c r="G14">
        <f>IFERROR(B14+C14,0)</f>
        <v>15995457</v>
      </c>
      <c r="H14">
        <f>SUM($G$2:G14)</f>
        <v>199995878</v>
      </c>
      <c r="I14">
        <f t="shared" si="3"/>
        <v>166.66323166666666</v>
      </c>
      <c r="J14">
        <f t="shared" si="4"/>
        <v>190.12686966666664</v>
      </c>
      <c r="K14">
        <f t="shared" si="5"/>
        <v>2471.6493056666664</v>
      </c>
    </row>
    <row r="15" spans="1:11">
      <c r="A15">
        <v>14</v>
      </c>
      <c r="B15" s="6">
        <v>8214892</v>
      </c>
      <c r="C15" s="6">
        <v>7785108</v>
      </c>
      <c r="D15">
        <f t="shared" si="0"/>
        <v>3114043.2</v>
      </c>
      <c r="E15">
        <f t="shared" si="1"/>
        <v>5.1900719999999998</v>
      </c>
      <c r="F15">
        <f t="shared" si="2"/>
        <v>16.429784000000001</v>
      </c>
      <c r="G15">
        <f>IFERROR(B15+C15,0)</f>
        <v>16000000</v>
      </c>
      <c r="H15">
        <f>SUM($G$2:G15)</f>
        <v>215995878</v>
      </c>
      <c r="I15">
        <f t="shared" si="3"/>
        <v>179.996565</v>
      </c>
      <c r="J15">
        <f t="shared" si="4"/>
        <v>201.616421</v>
      </c>
      <c r="K15">
        <f t="shared" si="5"/>
        <v>2822.6298940000001</v>
      </c>
    </row>
    <row r="16" spans="1:11">
      <c r="A16">
        <v>15</v>
      </c>
      <c r="B16" s="6">
        <v>7561148</v>
      </c>
      <c r="C16" s="6">
        <v>8438852</v>
      </c>
      <c r="D16">
        <f t="shared" si="0"/>
        <v>3375540.8</v>
      </c>
      <c r="E16">
        <f t="shared" si="1"/>
        <v>5.6259013333333332</v>
      </c>
      <c r="F16">
        <f t="shared" si="2"/>
        <v>15.122296</v>
      </c>
      <c r="G16">
        <f>IFERROR(B16+C16,0)</f>
        <v>16000000</v>
      </c>
      <c r="H16">
        <f>SUM($G$2:G16)</f>
        <v>231995878</v>
      </c>
      <c r="I16">
        <f t="shared" si="3"/>
        <v>193.32989833333335</v>
      </c>
      <c r="J16">
        <f t="shared" si="4"/>
        <v>214.07809566666668</v>
      </c>
      <c r="K16">
        <f t="shared" si="5"/>
        <v>3211.1714350000002</v>
      </c>
    </row>
    <row r="17" spans="1:11">
      <c r="A17">
        <v>16</v>
      </c>
      <c r="B17" s="6">
        <v>6265269</v>
      </c>
      <c r="C17" s="6">
        <v>9734731</v>
      </c>
      <c r="D17">
        <f t="shared" si="0"/>
        <v>3893892.4</v>
      </c>
      <c r="E17">
        <f t="shared" si="1"/>
        <v>6.4898206666666667</v>
      </c>
      <c r="F17">
        <f t="shared" si="2"/>
        <v>12.530538</v>
      </c>
      <c r="G17">
        <f>IFERROR(B17+C17,0)</f>
        <v>16000000</v>
      </c>
      <c r="H17">
        <f>SUM($G$2:G17)</f>
        <v>247995878</v>
      </c>
      <c r="I17">
        <f t="shared" si="3"/>
        <v>206.66323166666666</v>
      </c>
      <c r="J17">
        <f t="shared" si="4"/>
        <v>225.68359033333334</v>
      </c>
      <c r="K17">
        <f t="shared" si="5"/>
        <v>3610.9374453333335</v>
      </c>
    </row>
    <row r="18" spans="1:11">
      <c r="A18">
        <v>17</v>
      </c>
      <c r="B18" s="6">
        <v>5839268</v>
      </c>
      <c r="C18" s="6">
        <v>10160732</v>
      </c>
      <c r="D18">
        <f t="shared" si="0"/>
        <v>4064292.8</v>
      </c>
      <c r="E18">
        <f t="shared" si="1"/>
        <v>6.7738213333333332</v>
      </c>
      <c r="F18">
        <f t="shared" si="2"/>
        <v>11.678535999999999</v>
      </c>
      <c r="G18">
        <f>IFERROR(B18+C18,0)</f>
        <v>16000000</v>
      </c>
      <c r="H18">
        <f>SUM($G$2:G18)</f>
        <v>263995878</v>
      </c>
      <c r="I18">
        <f t="shared" si="3"/>
        <v>219.996565</v>
      </c>
      <c r="J18">
        <f t="shared" si="4"/>
        <v>238.44892233333334</v>
      </c>
      <c r="K18">
        <f t="shared" si="5"/>
        <v>4053.631679666667</v>
      </c>
    </row>
    <row r="19" spans="1:11">
      <c r="A19">
        <v>18</v>
      </c>
      <c r="B19" s="6">
        <v>6179157</v>
      </c>
      <c r="C19" s="6">
        <v>9820843</v>
      </c>
      <c r="D19">
        <f t="shared" si="0"/>
        <v>3928337.2</v>
      </c>
      <c r="E19">
        <f t="shared" si="1"/>
        <v>6.5472286666666664</v>
      </c>
      <c r="F19">
        <f t="shared" si="2"/>
        <v>12.358314</v>
      </c>
      <c r="G19">
        <f>IFERROR(B19+C19,0)</f>
        <v>16000000</v>
      </c>
      <c r="H19">
        <f>SUM($G$2:G19)</f>
        <v>279995878</v>
      </c>
      <c r="I19">
        <f t="shared" si="3"/>
        <v>233.32989833333335</v>
      </c>
      <c r="J19">
        <f t="shared" si="4"/>
        <v>252.23544100000001</v>
      </c>
      <c r="K19">
        <f t="shared" si="5"/>
        <v>4540.2379380000002</v>
      </c>
    </row>
    <row r="20" spans="1:11">
      <c r="A20">
        <v>19</v>
      </c>
      <c r="B20" s="6">
        <v>6527399</v>
      </c>
      <c r="C20" s="6">
        <v>9472601</v>
      </c>
      <c r="D20">
        <f t="shared" si="0"/>
        <v>3789040.4</v>
      </c>
      <c r="E20">
        <f t="shared" si="1"/>
        <v>6.3150673333333334</v>
      </c>
      <c r="F20">
        <f t="shared" si="2"/>
        <v>13.054798</v>
      </c>
      <c r="G20">
        <f>IFERROR(B20+C20,0)</f>
        <v>16000000</v>
      </c>
      <c r="H20">
        <f>SUM($G$2:G20)</f>
        <v>295995878</v>
      </c>
      <c r="I20">
        <f t="shared" si="3"/>
        <v>246.66323166666669</v>
      </c>
      <c r="J20">
        <f t="shared" si="4"/>
        <v>266.033097</v>
      </c>
      <c r="K20">
        <f t="shared" si="5"/>
        <v>5054.6288430000004</v>
      </c>
    </row>
    <row r="21" spans="1:11">
      <c r="A21">
        <v>20</v>
      </c>
      <c r="B21" s="6">
        <v>6320285</v>
      </c>
      <c r="C21" s="6">
        <v>9679715</v>
      </c>
      <c r="D21">
        <f t="shared" si="0"/>
        <v>3871886</v>
      </c>
      <c r="E21">
        <f t="shared" si="1"/>
        <v>6.4531433333333332</v>
      </c>
      <c r="F21">
        <f t="shared" si="2"/>
        <v>12.64057</v>
      </c>
      <c r="G21">
        <f>IFERROR(B21+C21,0)</f>
        <v>16000000</v>
      </c>
      <c r="H21">
        <f>SUM($G$2:G21)</f>
        <v>311995878</v>
      </c>
      <c r="I21">
        <f t="shared" si="3"/>
        <v>259.99656499999998</v>
      </c>
      <c r="J21">
        <f t="shared" si="4"/>
        <v>279.09027833333334</v>
      </c>
      <c r="K21">
        <f t="shared" si="5"/>
        <v>5581.8055666666669</v>
      </c>
    </row>
    <row r="22" spans="1:11">
      <c r="A22">
        <v>21</v>
      </c>
      <c r="B22" s="6">
        <v>5735507</v>
      </c>
      <c r="C22" s="6">
        <v>10264493</v>
      </c>
      <c r="D22">
        <f t="shared" si="0"/>
        <v>4105797.2</v>
      </c>
      <c r="E22">
        <f t="shared" si="1"/>
        <v>6.8429953333333335</v>
      </c>
      <c r="F22">
        <f t="shared" si="2"/>
        <v>11.471014</v>
      </c>
      <c r="G22">
        <f>IFERROR(B22+C22,0)</f>
        <v>16000000</v>
      </c>
      <c r="H22">
        <f>SUM($G$2:G22)</f>
        <v>327995878</v>
      </c>
      <c r="I22">
        <f t="shared" si="3"/>
        <v>273.32989833333335</v>
      </c>
      <c r="J22">
        <f t="shared" si="4"/>
        <v>291.64390766666668</v>
      </c>
      <c r="K22">
        <f t="shared" si="5"/>
        <v>6124.5220610000006</v>
      </c>
    </row>
    <row r="23" spans="1:11">
      <c r="A23">
        <v>22</v>
      </c>
      <c r="B23" s="6">
        <v>5192660</v>
      </c>
      <c r="C23" s="6">
        <v>10807340</v>
      </c>
      <c r="D23">
        <f t="shared" si="0"/>
        <v>4322936</v>
      </c>
      <c r="E23">
        <f t="shared" si="1"/>
        <v>7.2048933333333336</v>
      </c>
      <c r="F23">
        <f t="shared" si="2"/>
        <v>10.38532</v>
      </c>
      <c r="G23">
        <f>IFERROR(B23+C23,0)</f>
        <v>16000000</v>
      </c>
      <c r="H23">
        <f>SUM($G$2:G23)</f>
        <v>343995878</v>
      </c>
      <c r="I23">
        <f t="shared" si="3"/>
        <v>286.66323166666666</v>
      </c>
      <c r="J23">
        <f t="shared" si="4"/>
        <v>304.253445</v>
      </c>
      <c r="K23">
        <f t="shared" si="5"/>
        <v>6693.5757899999999</v>
      </c>
    </row>
    <row r="24" spans="1:11">
      <c r="A24">
        <v>23</v>
      </c>
      <c r="B24" s="6">
        <v>5073632</v>
      </c>
      <c r="C24" s="6">
        <v>10926368</v>
      </c>
      <c r="D24">
        <f t="shared" si="0"/>
        <v>4370547.2</v>
      </c>
      <c r="E24">
        <f t="shared" si="1"/>
        <v>7.2842453333333337</v>
      </c>
      <c r="F24">
        <f t="shared" si="2"/>
        <v>10.147264</v>
      </c>
      <c r="G24">
        <f>IFERROR(B24+C24,0)</f>
        <v>16000000</v>
      </c>
      <c r="H24">
        <f>SUM($G$2:G24)</f>
        <v>359995878</v>
      </c>
      <c r="I24">
        <f t="shared" si="3"/>
        <v>299.99656499999998</v>
      </c>
      <c r="J24">
        <f t="shared" si="4"/>
        <v>317.42807433333331</v>
      </c>
      <c r="K24">
        <f t="shared" si="5"/>
        <v>7300.8457096666662</v>
      </c>
    </row>
    <row r="25" spans="1:11">
      <c r="A25">
        <v>24</v>
      </c>
      <c r="B25" s="6">
        <v>4832830</v>
      </c>
      <c r="C25" s="6">
        <v>11167170</v>
      </c>
      <c r="D25">
        <f t="shared" si="0"/>
        <v>4466868</v>
      </c>
      <c r="E25">
        <f t="shared" si="1"/>
        <v>7.4447800000000006</v>
      </c>
      <c r="F25">
        <f t="shared" si="2"/>
        <v>9.6656600000000008</v>
      </c>
      <c r="G25">
        <f>IFERROR(B25+C25,0)</f>
        <v>16000000</v>
      </c>
      <c r="H25">
        <f>SUM($G$2:G25)</f>
        <v>375995878</v>
      </c>
      <c r="I25">
        <f t="shared" si="3"/>
        <v>313.32989833333329</v>
      </c>
      <c r="J25">
        <f t="shared" si="4"/>
        <v>330.44033833333327</v>
      </c>
      <c r="K25">
        <f t="shared" si="5"/>
        <v>7930.5681199999981</v>
      </c>
    </row>
    <row r="26" spans="1:11">
      <c r="A26">
        <v>25</v>
      </c>
      <c r="B26" s="6">
        <v>4317695</v>
      </c>
      <c r="C26" s="6">
        <v>11682305</v>
      </c>
      <c r="D26">
        <f t="shared" si="0"/>
        <v>4672922</v>
      </c>
      <c r="E26">
        <f t="shared" si="1"/>
        <v>7.7882033333333336</v>
      </c>
      <c r="F26">
        <f t="shared" si="2"/>
        <v>8.6353899999999992</v>
      </c>
      <c r="G26">
        <f>IFERROR(B26+C26,0)</f>
        <v>16000000</v>
      </c>
      <c r="H26">
        <f>SUM($G$2:G26)</f>
        <v>391995878</v>
      </c>
      <c r="I26">
        <f t="shared" si="3"/>
        <v>326.66323166666666</v>
      </c>
      <c r="J26">
        <f t="shared" si="4"/>
        <v>343.08682499999998</v>
      </c>
      <c r="K26">
        <f t="shared" si="5"/>
        <v>8577.1706249999988</v>
      </c>
    </row>
    <row r="27" spans="1:11">
      <c r="A27">
        <v>26</v>
      </c>
      <c r="B27" s="6">
        <v>4301047</v>
      </c>
      <c r="C27" s="6">
        <v>11698953</v>
      </c>
      <c r="D27">
        <f t="shared" si="0"/>
        <v>4679581.2</v>
      </c>
      <c r="E27">
        <f t="shared" si="1"/>
        <v>7.7993020000000008</v>
      </c>
      <c r="F27">
        <f t="shared" si="2"/>
        <v>8.6020939999999992</v>
      </c>
      <c r="G27">
        <f t="shared" ref="G27:G28" si="6">IFERROR(B27+C27,0)</f>
        <v>16000000</v>
      </c>
      <c r="H27">
        <f>SUM($G$2:G27)</f>
        <v>407995878</v>
      </c>
      <c r="I27">
        <f t="shared" si="3"/>
        <v>339.99656499999998</v>
      </c>
      <c r="J27">
        <f t="shared" si="4"/>
        <v>356.39796100000001</v>
      </c>
      <c r="K27">
        <f t="shared" si="5"/>
        <v>9266.3469860000005</v>
      </c>
    </row>
    <row r="28" spans="1:11">
      <c r="A28">
        <v>27</v>
      </c>
      <c r="B28" s="6">
        <v>5773626</v>
      </c>
      <c r="C28" s="6">
        <v>10226374</v>
      </c>
      <c r="D28">
        <f t="shared" si="0"/>
        <v>4090549.6</v>
      </c>
      <c r="E28">
        <f t="shared" si="1"/>
        <v>6.8175826666666675</v>
      </c>
      <c r="F28">
        <f t="shared" ref="F28:F29" si="7">(B28*2)/1000000</f>
        <v>11.547252</v>
      </c>
      <c r="G28">
        <f t="shared" ref="G28:G29" si="8">IFERROR(B28+C28,0)</f>
        <v>16000000</v>
      </c>
      <c r="H28">
        <f>SUM($G$2:G28)</f>
        <v>423995878</v>
      </c>
      <c r="I28">
        <f t="shared" si="3"/>
        <v>353.32989833333329</v>
      </c>
      <c r="J28">
        <f t="shared" ref="J28:J29" si="9">I28+F28+E28</f>
        <v>371.69473299999999</v>
      </c>
      <c r="K28">
        <f t="shared" ref="K28:K29" si="10">A28*J28</f>
        <v>10035.757791</v>
      </c>
    </row>
    <row r="29" spans="1:11">
      <c r="A29">
        <v>28</v>
      </c>
      <c r="B29" s="6">
        <v>5282538</v>
      </c>
      <c r="C29" s="6">
        <v>7913265</v>
      </c>
      <c r="D29">
        <f t="shared" si="0"/>
        <v>3165306</v>
      </c>
      <c r="E29">
        <f t="shared" si="1"/>
        <v>5.2755099999999997</v>
      </c>
      <c r="F29">
        <f t="shared" si="7"/>
        <v>10.565075999999999</v>
      </c>
      <c r="G29">
        <f t="shared" si="8"/>
        <v>13195803</v>
      </c>
      <c r="H29">
        <f>SUM($G$2:G29)</f>
        <v>437191681</v>
      </c>
      <c r="I29">
        <f t="shared" si="3"/>
        <v>364.32640083333331</v>
      </c>
      <c r="J29">
        <f t="shared" si="9"/>
        <v>380.16698683333328</v>
      </c>
      <c r="K29">
        <f t="shared" si="10"/>
        <v>10644.675631333332</v>
      </c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226795520</v>
      </c>
    </row>
    <row r="37" spans="1:10">
      <c r="H37" s="14" t="s">
        <v>37</v>
      </c>
      <c r="I37" t="s">
        <v>2</v>
      </c>
      <c r="J37" s="15">
        <f>MAX(K2:K33)</f>
        <v>10644.675631333332</v>
      </c>
    </row>
    <row r="38" spans="1:10">
      <c r="I38" t="s">
        <v>3</v>
      </c>
      <c r="J38" s="15">
        <f>MAX(J2:J33)</f>
        <v>380.16698683333328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>
        <v>1</v>
      </c>
      <c r="B60" s="6">
        <v>9600000</v>
      </c>
      <c r="C60" s="6">
        <v>5625539</v>
      </c>
      <c r="D60" s="6">
        <v>0.59</v>
      </c>
      <c r="E60" s="6">
        <v>2.3391000000000002</v>
      </c>
      <c r="F60" s="6">
        <v>804494567</v>
      </c>
      <c r="G60" s="6">
        <v>731358697</v>
      </c>
    </row>
    <row r="61" spans="1:9">
      <c r="A61" s="6">
        <v>2</v>
      </c>
      <c r="B61" s="6">
        <v>9600000</v>
      </c>
      <c r="C61" s="6">
        <v>5706793</v>
      </c>
      <c r="D61" s="6">
        <v>0.59</v>
      </c>
      <c r="E61" s="6">
        <v>1.7262</v>
      </c>
      <c r="F61" s="6">
        <v>531898300</v>
      </c>
      <c r="G61" s="6">
        <v>439585372</v>
      </c>
    </row>
    <row r="62" spans="1:9">
      <c r="A62" s="6">
        <v>3</v>
      </c>
      <c r="B62" s="6">
        <v>9600000</v>
      </c>
      <c r="C62" s="6">
        <v>6219137</v>
      </c>
      <c r="D62" s="6">
        <v>0.65</v>
      </c>
      <c r="E62" s="6">
        <v>2.0647000000000002</v>
      </c>
      <c r="F62" s="6">
        <v>680634383</v>
      </c>
      <c r="G62" s="6">
        <v>511370686</v>
      </c>
    </row>
    <row r="63" spans="1:9">
      <c r="A63" s="6">
        <v>4</v>
      </c>
      <c r="B63" s="6">
        <v>9454100</v>
      </c>
      <c r="C63" s="6">
        <v>6545900</v>
      </c>
      <c r="D63" s="6">
        <v>0.69</v>
      </c>
      <c r="E63" s="6">
        <v>2.4493</v>
      </c>
      <c r="F63" s="6">
        <v>837178181</v>
      </c>
      <c r="G63" s="6">
        <v>571803962</v>
      </c>
    </row>
    <row r="64" spans="1:9">
      <c r="A64" s="6">
        <v>5</v>
      </c>
      <c r="B64" s="6">
        <v>8800856</v>
      </c>
      <c r="C64" s="6">
        <v>7199144</v>
      </c>
      <c r="D64" s="6">
        <v>0.82</v>
      </c>
      <c r="E64" s="6">
        <v>2.5209999999999999</v>
      </c>
      <c r="F64" s="6">
        <v>804915972</v>
      </c>
      <c r="G64" s="6">
        <v>499789490</v>
      </c>
    </row>
    <row r="65" spans="1:7">
      <c r="A65" s="6">
        <v>6</v>
      </c>
      <c r="B65" s="6">
        <v>8724252</v>
      </c>
      <c r="C65" s="6">
        <v>7275748</v>
      </c>
      <c r="D65" s="6">
        <v>0.83</v>
      </c>
      <c r="E65" s="6">
        <v>2.4579</v>
      </c>
      <c r="F65" s="6">
        <v>771962441</v>
      </c>
      <c r="G65" s="6">
        <v>435752673</v>
      </c>
    </row>
    <row r="66" spans="1:7">
      <c r="A66" s="6">
        <v>7</v>
      </c>
      <c r="B66" s="6">
        <v>9600000</v>
      </c>
      <c r="C66" s="6">
        <v>5840690</v>
      </c>
      <c r="D66" s="6">
        <v>0.61</v>
      </c>
      <c r="E66" s="6">
        <v>2.4590999999999998</v>
      </c>
      <c r="F66" s="6">
        <v>857110598</v>
      </c>
      <c r="G66" s="6">
        <v>439833261</v>
      </c>
    </row>
    <row r="67" spans="1:7">
      <c r="A67" s="6">
        <v>8</v>
      </c>
      <c r="B67" s="6">
        <v>9600000</v>
      </c>
      <c r="C67" s="6">
        <v>4845211</v>
      </c>
      <c r="D67" s="6">
        <v>0.5</v>
      </c>
      <c r="E67" s="6">
        <v>2.3532999999999999</v>
      </c>
      <c r="F67" s="6">
        <v>813364064</v>
      </c>
      <c r="G67" s="6">
        <v>379440338</v>
      </c>
    </row>
    <row r="68" spans="1:7">
      <c r="A68" s="6">
        <v>9</v>
      </c>
      <c r="B68" s="6">
        <v>9600000</v>
      </c>
      <c r="C68" s="6">
        <v>4827335</v>
      </c>
      <c r="D68" s="6">
        <v>0.5</v>
      </c>
      <c r="E68" s="6">
        <v>2.3553999999999999</v>
      </c>
      <c r="F68" s="6">
        <v>814357877</v>
      </c>
      <c r="G68" s="6">
        <v>345367236</v>
      </c>
    </row>
    <row r="69" spans="1:7">
      <c r="A69" s="6">
        <v>10</v>
      </c>
      <c r="B69" s="6">
        <v>9600000</v>
      </c>
      <c r="C69" s="6">
        <v>4660960</v>
      </c>
      <c r="D69" s="6">
        <v>0.49</v>
      </c>
      <c r="E69" s="6">
        <v>2.3965000000000001</v>
      </c>
      <c r="F69" s="6">
        <v>833128946</v>
      </c>
      <c r="G69" s="6">
        <v>321207275</v>
      </c>
    </row>
    <row r="70" spans="1:7">
      <c r="A70" s="6">
        <v>11</v>
      </c>
      <c r="B70" s="6">
        <v>9600000</v>
      </c>
      <c r="C70" s="6">
        <v>5780301</v>
      </c>
      <c r="D70" s="6">
        <v>0.6</v>
      </c>
      <c r="E70" s="6">
        <v>2.4815999999999998</v>
      </c>
      <c r="F70" s="6">
        <v>867298644</v>
      </c>
      <c r="G70" s="6">
        <v>303982884</v>
      </c>
    </row>
    <row r="71" spans="1:7">
      <c r="A71" s="6">
        <v>12</v>
      </c>
      <c r="B71" s="6">
        <v>9600000</v>
      </c>
      <c r="C71" s="6">
        <v>6094455</v>
      </c>
      <c r="D71" s="6">
        <v>0.63</v>
      </c>
      <c r="E71" s="6">
        <v>2.5539000000000001</v>
      </c>
      <c r="F71" s="6">
        <v>898389603</v>
      </c>
      <c r="G71" s="6">
        <v>286254614</v>
      </c>
    </row>
    <row r="72" spans="1:7">
      <c r="A72" s="6">
        <v>13</v>
      </c>
      <c r="B72" s="6">
        <v>9600000</v>
      </c>
      <c r="C72" s="6">
        <v>6395457</v>
      </c>
      <c r="D72" s="6">
        <v>0.67</v>
      </c>
      <c r="E72" s="6">
        <v>3.0019</v>
      </c>
      <c r="F72" s="6">
        <v>1096434810</v>
      </c>
      <c r="G72" s="6">
        <v>317598109</v>
      </c>
    </row>
    <row r="73" spans="1:7">
      <c r="A73" s="6">
        <v>14</v>
      </c>
      <c r="B73" s="6">
        <v>8214892</v>
      </c>
      <c r="C73" s="6">
        <v>7785108</v>
      </c>
      <c r="D73" s="6">
        <v>0.95</v>
      </c>
      <c r="E73" s="6">
        <v>1.012</v>
      </c>
      <c r="F73" s="6">
        <v>174127027</v>
      </c>
      <c r="G73" s="6">
        <v>45853088</v>
      </c>
    </row>
    <row r="74" spans="1:7">
      <c r="A74" s="6">
        <v>15</v>
      </c>
      <c r="B74" s="6">
        <v>7561148</v>
      </c>
      <c r="C74" s="6">
        <v>8438852</v>
      </c>
      <c r="D74" s="6">
        <v>1.1200000000000001</v>
      </c>
      <c r="E74" s="6">
        <v>1.1949000000000001</v>
      </c>
      <c r="F74" s="6">
        <v>220083174</v>
      </c>
      <c r="G74" s="6">
        <v>52686162</v>
      </c>
    </row>
    <row r="75" spans="1:7">
      <c r="A75" s="6">
        <v>16</v>
      </c>
      <c r="B75" s="6">
        <v>6265269</v>
      </c>
      <c r="C75" s="6">
        <v>9734731</v>
      </c>
      <c r="D75" s="6">
        <v>1.55</v>
      </c>
      <c r="E75" s="6">
        <v>1.1878</v>
      </c>
      <c r="F75" s="6">
        <v>171310774</v>
      </c>
      <c r="G75" s="6">
        <v>37282216</v>
      </c>
    </row>
    <row r="76" spans="1:7">
      <c r="A76" s="6">
        <v>17</v>
      </c>
      <c r="B76" s="6">
        <v>5839268</v>
      </c>
      <c r="C76" s="6">
        <v>10160732</v>
      </c>
      <c r="D76" s="6">
        <v>1.74</v>
      </c>
      <c r="E76" s="6">
        <v>1.1141000000000001</v>
      </c>
      <c r="F76" s="6">
        <v>136184608</v>
      </c>
      <c r="G76" s="6">
        <v>26943399</v>
      </c>
    </row>
    <row r="77" spans="1:7">
      <c r="A77" s="6">
        <v>18</v>
      </c>
      <c r="B77" s="6">
        <v>6179157</v>
      </c>
      <c r="C77" s="6">
        <v>9820843</v>
      </c>
      <c r="D77" s="6">
        <v>1.59</v>
      </c>
      <c r="E77" s="6">
        <v>1.2000999999999999</v>
      </c>
      <c r="F77" s="6">
        <v>171750971</v>
      </c>
      <c r="G77" s="6">
        <v>30890922</v>
      </c>
    </row>
    <row r="78" spans="1:7">
      <c r="A78" s="6">
        <v>19</v>
      </c>
      <c r="B78" s="6">
        <v>6527399</v>
      </c>
      <c r="C78" s="6">
        <v>9472601</v>
      </c>
      <c r="D78" s="6">
        <v>1.45</v>
      </c>
      <c r="E78" s="6">
        <v>1.2488999999999999</v>
      </c>
      <c r="F78" s="6">
        <v>199153619</v>
      </c>
      <c r="G78" s="6">
        <v>32563208</v>
      </c>
    </row>
    <row r="79" spans="1:7">
      <c r="A79" s="6">
        <v>20</v>
      </c>
      <c r="B79" s="6">
        <v>6320285</v>
      </c>
      <c r="C79" s="6">
        <v>9679715</v>
      </c>
      <c r="D79" s="6">
        <v>1.53</v>
      </c>
      <c r="E79" s="6">
        <v>1.2722</v>
      </c>
      <c r="F79" s="6">
        <v>197985132</v>
      </c>
      <c r="G79" s="6">
        <v>29429228</v>
      </c>
    </row>
    <row r="80" spans="1:7">
      <c r="A80" s="6">
        <v>21</v>
      </c>
      <c r="B80" s="6">
        <v>5735507</v>
      </c>
      <c r="C80" s="6">
        <v>10264493</v>
      </c>
      <c r="D80" s="6">
        <v>1.79</v>
      </c>
      <c r="E80" s="6">
        <v>1.3132999999999999</v>
      </c>
      <c r="F80" s="6">
        <v>185716995</v>
      </c>
      <c r="G80" s="6">
        <v>25096044</v>
      </c>
    </row>
    <row r="81" spans="1:7">
      <c r="A81" s="6">
        <v>22</v>
      </c>
      <c r="B81" s="6">
        <v>5192660</v>
      </c>
      <c r="C81" s="6">
        <v>10807340</v>
      </c>
      <c r="D81" s="6">
        <v>2.08</v>
      </c>
      <c r="E81" s="6">
        <v>1.3168</v>
      </c>
      <c r="F81" s="6">
        <v>164007634</v>
      </c>
      <c r="G81" s="6">
        <v>20147677</v>
      </c>
    </row>
    <row r="82" spans="1:7">
      <c r="A82" s="6">
        <v>23</v>
      </c>
      <c r="B82" s="6">
        <v>5073632</v>
      </c>
      <c r="C82" s="6">
        <v>10926368</v>
      </c>
      <c r="D82" s="6">
        <v>2.15</v>
      </c>
      <c r="E82" s="6">
        <v>1.4016999999999999</v>
      </c>
      <c r="F82" s="6">
        <v>178968867</v>
      </c>
      <c r="G82" s="6">
        <v>19986913</v>
      </c>
    </row>
    <row r="83" spans="1:7">
      <c r="A83" s="6">
        <v>24</v>
      </c>
      <c r="B83" s="6">
        <v>4832830</v>
      </c>
      <c r="C83" s="6">
        <v>11167170</v>
      </c>
      <c r="D83" s="6">
        <v>2.31</v>
      </c>
      <c r="E83" s="6">
        <v>1.5409999999999999</v>
      </c>
      <c r="F83" s="6">
        <v>199145150</v>
      </c>
      <c r="G83" s="6">
        <v>20218330</v>
      </c>
    </row>
    <row r="84" spans="1:7">
      <c r="A84" s="6">
        <v>25</v>
      </c>
      <c r="B84" s="6">
        <v>4317695</v>
      </c>
      <c r="C84" s="6">
        <v>11682305</v>
      </c>
      <c r="D84" s="6">
        <v>2.71</v>
      </c>
      <c r="E84" s="6">
        <v>1.6836</v>
      </c>
      <c r="F84" s="6">
        <v>200813336</v>
      </c>
      <c r="G84" s="6">
        <v>18534267</v>
      </c>
    </row>
    <row r="85" spans="1:7">
      <c r="A85" s="6">
        <v>26</v>
      </c>
      <c r="B85" s="6">
        <v>4301047</v>
      </c>
      <c r="C85" s="6">
        <v>11698953</v>
      </c>
      <c r="D85" s="6">
        <v>2.72</v>
      </c>
      <c r="E85" s="6">
        <v>1.9515</v>
      </c>
      <c r="F85" s="6">
        <v>253181196</v>
      </c>
      <c r="G85" s="6">
        <v>21243283</v>
      </c>
    </row>
    <row r="86" spans="1:7">
      <c r="A86" s="6">
        <v>27</v>
      </c>
      <c r="B86" s="6">
        <v>5773626</v>
      </c>
      <c r="C86" s="6">
        <v>10226374</v>
      </c>
      <c r="D86" s="6">
        <v>1.77</v>
      </c>
      <c r="E86" s="6">
        <v>1.8251999999999999</v>
      </c>
      <c r="F86" s="6">
        <v>324078646</v>
      </c>
      <c r="G86" s="6">
        <v>24719969</v>
      </c>
    </row>
    <row r="87" spans="1:7">
      <c r="A87" s="6">
        <v>28</v>
      </c>
      <c r="B87" s="6">
        <v>5282538</v>
      </c>
      <c r="C87" s="6">
        <v>7913265</v>
      </c>
      <c r="D87" s="6">
        <v>1.5</v>
      </c>
      <c r="E87" s="6">
        <v>2.3090000000000002</v>
      </c>
      <c r="F87" s="6">
        <v>419509828</v>
      </c>
      <c r="G87" s="6">
        <v>29580229</v>
      </c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0"/>
  <sheetViews>
    <sheetView workbookViewId="0">
      <selection activeCell="D32" sqref="D32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10500000</v>
      </c>
      <c r="C2" s="6">
        <v>6191049</v>
      </c>
      <c r="D2">
        <f>C2/2.5</f>
        <v>2476419.6</v>
      </c>
      <c r="E2">
        <f>(D2/60)/10000</f>
        <v>4.1273660000000003</v>
      </c>
      <c r="F2">
        <f>(B2*2)/1000000</f>
        <v>21</v>
      </c>
      <c r="G2">
        <f>IFERROR(B2+C2,0)</f>
        <v>16691049</v>
      </c>
      <c r="H2">
        <f>SUM($G$2:G2)</f>
        <v>16691049</v>
      </c>
      <c r="I2">
        <f>((H2/2.5)/48)/10000</f>
        <v>13.909207499999999</v>
      </c>
      <c r="J2">
        <f>I2+F2+E2</f>
        <v>39.036573500000003</v>
      </c>
      <c r="K2">
        <f>A2*J2</f>
        <v>39.036573500000003</v>
      </c>
    </row>
    <row r="3" spans="1:11">
      <c r="A3">
        <v>2</v>
      </c>
      <c r="B3" s="6">
        <v>10500000</v>
      </c>
      <c r="C3" s="6">
        <v>6327559</v>
      </c>
      <c r="D3">
        <f t="shared" ref="D3:D29" si="0">C3/2.5</f>
        <v>2531023.6</v>
      </c>
      <c r="E3">
        <f t="shared" ref="E3:E29" si="1">(D3/60)/10000</f>
        <v>4.2183726666666672</v>
      </c>
      <c r="F3">
        <f t="shared" ref="F3:F34" si="2">(B3*2)/1000000</f>
        <v>21</v>
      </c>
      <c r="G3">
        <f>IFERROR(B3+C3,0)</f>
        <v>16827559</v>
      </c>
      <c r="H3">
        <f>SUM($G$2:G3)</f>
        <v>33518608</v>
      </c>
      <c r="I3">
        <f t="shared" ref="I3:I29" si="3">((H3/2.5)/48)/10000</f>
        <v>27.932173333333335</v>
      </c>
      <c r="J3">
        <f t="shared" ref="J3:J29" si="4">I3+F3+E3</f>
        <v>53.150546000000006</v>
      </c>
      <c r="K3">
        <f t="shared" ref="K3:K29" si="5">A3*J3</f>
        <v>106.30109200000001</v>
      </c>
    </row>
    <row r="4" spans="1:11">
      <c r="A4">
        <v>3</v>
      </c>
      <c r="B4" s="6">
        <v>10496812</v>
      </c>
      <c r="C4" s="6">
        <v>7003188</v>
      </c>
      <c r="D4">
        <f t="shared" si="0"/>
        <v>2801275.2</v>
      </c>
      <c r="E4">
        <f t="shared" si="1"/>
        <v>4.6687920000000007</v>
      </c>
      <c r="F4">
        <f t="shared" si="2"/>
        <v>20.993624000000001</v>
      </c>
      <c r="G4">
        <f>IFERROR(B4+C4,0)</f>
        <v>17500000</v>
      </c>
      <c r="H4">
        <f>SUM($G$2:G4)</f>
        <v>51018608</v>
      </c>
      <c r="I4">
        <f t="shared" si="3"/>
        <v>42.515506666666667</v>
      </c>
      <c r="J4">
        <f t="shared" si="4"/>
        <v>68.17792266666666</v>
      </c>
      <c r="K4">
        <f t="shared" si="5"/>
        <v>204.53376799999998</v>
      </c>
    </row>
    <row r="5" spans="1:11">
      <c r="A5">
        <v>4</v>
      </c>
      <c r="B5" s="6">
        <v>10150747</v>
      </c>
      <c r="C5" s="6">
        <v>7349253</v>
      </c>
      <c r="D5">
        <f t="shared" si="0"/>
        <v>2939701.2</v>
      </c>
      <c r="E5">
        <f t="shared" si="1"/>
        <v>4.899502</v>
      </c>
      <c r="F5">
        <f t="shared" si="2"/>
        <v>20.301494000000002</v>
      </c>
      <c r="G5">
        <f>IFERROR(B5+C5,0)</f>
        <v>17500000</v>
      </c>
      <c r="H5">
        <f>SUM($G$2:G5)</f>
        <v>68518608</v>
      </c>
      <c r="I5">
        <f t="shared" si="3"/>
        <v>57.098840000000003</v>
      </c>
      <c r="J5">
        <f t="shared" si="4"/>
        <v>82.299835999999999</v>
      </c>
      <c r="K5">
        <f t="shared" si="5"/>
        <v>329.199344</v>
      </c>
    </row>
    <row r="6" spans="1:11">
      <c r="A6">
        <v>5</v>
      </c>
      <c r="B6" s="6">
        <v>9326528</v>
      </c>
      <c r="C6" s="6">
        <v>8173472</v>
      </c>
      <c r="D6">
        <f t="shared" si="0"/>
        <v>3269388.8</v>
      </c>
      <c r="E6">
        <f t="shared" si="1"/>
        <v>5.4489813333333332</v>
      </c>
      <c r="F6">
        <f t="shared" si="2"/>
        <v>18.653055999999999</v>
      </c>
      <c r="G6">
        <f>IFERROR(B6+C6,0)</f>
        <v>17500000</v>
      </c>
      <c r="H6">
        <f>SUM($G$2:G6)</f>
        <v>86018608</v>
      </c>
      <c r="I6">
        <f t="shared" si="3"/>
        <v>71.682173333333338</v>
      </c>
      <c r="J6">
        <f t="shared" si="4"/>
        <v>95.784210666666667</v>
      </c>
      <c r="K6">
        <f t="shared" si="5"/>
        <v>478.92105333333336</v>
      </c>
    </row>
    <row r="7" spans="1:11">
      <c r="A7">
        <v>6</v>
      </c>
      <c r="B7" s="6">
        <v>10131772</v>
      </c>
      <c r="C7" s="6">
        <v>7368228</v>
      </c>
      <c r="D7">
        <f t="shared" si="0"/>
        <v>2947291.2</v>
      </c>
      <c r="E7">
        <f t="shared" si="1"/>
        <v>4.9121520000000007</v>
      </c>
      <c r="F7">
        <f t="shared" si="2"/>
        <v>20.263544</v>
      </c>
      <c r="G7">
        <f>IFERROR(B7+C7,0)</f>
        <v>17500000</v>
      </c>
      <c r="H7">
        <f>SUM($G$2:G7)</f>
        <v>103518608</v>
      </c>
      <c r="I7">
        <f t="shared" si="3"/>
        <v>86.265506666666681</v>
      </c>
      <c r="J7">
        <f t="shared" si="4"/>
        <v>111.44120266666668</v>
      </c>
      <c r="K7">
        <f t="shared" si="5"/>
        <v>668.64721600000007</v>
      </c>
    </row>
    <row r="8" spans="1:11">
      <c r="A8">
        <v>7</v>
      </c>
      <c r="B8" s="6">
        <v>10500000</v>
      </c>
      <c r="C8" s="6">
        <v>5558252</v>
      </c>
      <c r="D8">
        <f t="shared" si="0"/>
        <v>2223300.7999999998</v>
      </c>
      <c r="E8">
        <f t="shared" si="1"/>
        <v>3.7055013333333329</v>
      </c>
      <c r="F8">
        <f t="shared" si="2"/>
        <v>21</v>
      </c>
      <c r="G8">
        <f>IFERROR(B8+C8,0)</f>
        <v>16058252</v>
      </c>
      <c r="H8">
        <f>SUM($G$2:G8)</f>
        <v>119576860</v>
      </c>
      <c r="I8">
        <f t="shared" si="3"/>
        <v>99.647383333333337</v>
      </c>
      <c r="J8">
        <f t="shared" si="4"/>
        <v>124.35288466666667</v>
      </c>
      <c r="K8">
        <f t="shared" si="5"/>
        <v>870.47019266666666</v>
      </c>
    </row>
    <row r="9" spans="1:11">
      <c r="A9">
        <v>8</v>
      </c>
      <c r="B9" s="6">
        <v>10500000</v>
      </c>
      <c r="C9" s="6">
        <v>5419607</v>
      </c>
      <c r="D9">
        <f t="shared" si="0"/>
        <v>2167842.7999999998</v>
      </c>
      <c r="E9">
        <f t="shared" si="1"/>
        <v>3.6130713333333335</v>
      </c>
      <c r="F9">
        <f t="shared" si="2"/>
        <v>21</v>
      </c>
      <c r="G9">
        <f>IFERROR(B9+C9,0)</f>
        <v>15919607</v>
      </c>
      <c r="H9">
        <f>SUM($G$2:G9)</f>
        <v>135496467</v>
      </c>
      <c r="I9">
        <f t="shared" si="3"/>
        <v>112.91372249999999</v>
      </c>
      <c r="J9">
        <f t="shared" si="4"/>
        <v>137.52679383333333</v>
      </c>
      <c r="K9">
        <f t="shared" si="5"/>
        <v>1100.2143506666666</v>
      </c>
    </row>
    <row r="10" spans="1:11">
      <c r="A10">
        <v>9</v>
      </c>
      <c r="B10" s="6">
        <v>10500000</v>
      </c>
      <c r="C10" s="6">
        <v>5179698</v>
      </c>
      <c r="D10">
        <f t="shared" si="0"/>
        <v>2071879.2</v>
      </c>
      <c r="E10">
        <f t="shared" si="1"/>
        <v>3.4531320000000001</v>
      </c>
      <c r="F10">
        <f t="shared" si="2"/>
        <v>21</v>
      </c>
      <c r="G10">
        <f>IFERROR(B10+C10,0)</f>
        <v>15679698</v>
      </c>
      <c r="H10">
        <f>SUM($G$2:G10)</f>
        <v>151176165</v>
      </c>
      <c r="I10">
        <f t="shared" si="3"/>
        <v>125.9801375</v>
      </c>
      <c r="J10">
        <f t="shared" si="4"/>
        <v>150.43326950000002</v>
      </c>
      <c r="K10">
        <f t="shared" si="5"/>
        <v>1353.8994255000002</v>
      </c>
    </row>
    <row r="11" spans="1:11">
      <c r="A11">
        <v>10</v>
      </c>
      <c r="B11" s="6">
        <v>10498760</v>
      </c>
      <c r="C11" s="6">
        <v>7001240</v>
      </c>
      <c r="D11">
        <f t="shared" si="0"/>
        <v>2800496</v>
      </c>
      <c r="E11">
        <f t="shared" si="1"/>
        <v>4.6674933333333337</v>
      </c>
      <c r="F11">
        <f t="shared" si="2"/>
        <v>20.997520000000002</v>
      </c>
      <c r="G11">
        <f>IFERROR(B11+C11,0)</f>
        <v>17500000</v>
      </c>
      <c r="H11">
        <f>SUM($G$2:G11)</f>
        <v>168676165</v>
      </c>
      <c r="I11">
        <f t="shared" si="3"/>
        <v>140.56347083333333</v>
      </c>
      <c r="J11">
        <f t="shared" si="4"/>
        <v>166.22848416666668</v>
      </c>
      <c r="K11">
        <f t="shared" si="5"/>
        <v>1662.2848416666668</v>
      </c>
    </row>
    <row r="12" spans="1:11">
      <c r="A12">
        <v>11</v>
      </c>
      <c r="B12" s="6">
        <v>10500000</v>
      </c>
      <c r="C12" s="6">
        <v>6977618</v>
      </c>
      <c r="D12">
        <f t="shared" si="0"/>
        <v>2791047.2</v>
      </c>
      <c r="E12">
        <f t="shared" si="1"/>
        <v>4.6517453333333334</v>
      </c>
      <c r="F12">
        <f t="shared" si="2"/>
        <v>21</v>
      </c>
      <c r="G12">
        <f>IFERROR(B12+C12,0)</f>
        <v>17477618</v>
      </c>
      <c r="H12">
        <f>SUM($G$2:G12)</f>
        <v>186153783</v>
      </c>
      <c r="I12">
        <f t="shared" si="3"/>
        <v>155.12815250000003</v>
      </c>
      <c r="J12">
        <f t="shared" si="4"/>
        <v>180.77989783333337</v>
      </c>
      <c r="K12">
        <f t="shared" si="5"/>
        <v>1988.578876166667</v>
      </c>
    </row>
    <row r="13" spans="1:11">
      <c r="A13">
        <v>12</v>
      </c>
      <c r="B13" s="6">
        <v>10298199</v>
      </c>
      <c r="C13" s="6">
        <v>7201801</v>
      </c>
      <c r="D13">
        <f t="shared" si="0"/>
        <v>2880720.4</v>
      </c>
      <c r="E13">
        <f t="shared" si="1"/>
        <v>4.8012006666666665</v>
      </c>
      <c r="F13">
        <f t="shared" si="2"/>
        <v>20.596398000000001</v>
      </c>
      <c r="G13">
        <f>IFERROR(B13+C13,0)</f>
        <v>17500000</v>
      </c>
      <c r="H13">
        <f>SUM($G$2:G13)</f>
        <v>203653783</v>
      </c>
      <c r="I13">
        <f t="shared" si="3"/>
        <v>169.71148583333334</v>
      </c>
      <c r="J13">
        <f t="shared" si="4"/>
        <v>195.10908449999999</v>
      </c>
      <c r="K13">
        <f t="shared" si="5"/>
        <v>2341.3090139999999</v>
      </c>
    </row>
    <row r="14" spans="1:11">
      <c r="A14">
        <v>13</v>
      </c>
      <c r="B14" s="6">
        <v>9044725</v>
      </c>
      <c r="C14" s="6">
        <v>8455275</v>
      </c>
      <c r="D14">
        <f t="shared" si="0"/>
        <v>3382110</v>
      </c>
      <c r="E14">
        <f t="shared" si="1"/>
        <v>5.6368499999999999</v>
      </c>
      <c r="F14">
        <f t="shared" si="2"/>
        <v>18.089449999999999</v>
      </c>
      <c r="G14">
        <f>IFERROR(B14+C14,0)</f>
        <v>17500000</v>
      </c>
      <c r="H14">
        <f>SUM($G$2:G14)</f>
        <v>221153783</v>
      </c>
      <c r="I14">
        <f t="shared" si="3"/>
        <v>184.29481916666666</v>
      </c>
      <c r="J14">
        <f t="shared" si="4"/>
        <v>208.02111916666667</v>
      </c>
      <c r="K14">
        <f t="shared" si="5"/>
        <v>2704.2745491666665</v>
      </c>
    </row>
    <row r="15" spans="1:11">
      <c r="A15">
        <v>14</v>
      </c>
      <c r="B15" s="6">
        <v>7960114</v>
      </c>
      <c r="C15" s="6">
        <v>9539886</v>
      </c>
      <c r="D15">
        <f t="shared" si="0"/>
        <v>3815954.4</v>
      </c>
      <c r="E15">
        <f t="shared" si="1"/>
        <v>6.3599239999999995</v>
      </c>
      <c r="F15">
        <f t="shared" si="2"/>
        <v>15.920228</v>
      </c>
      <c r="G15">
        <f>IFERROR(B15+C15,0)</f>
        <v>17500000</v>
      </c>
      <c r="H15">
        <f>SUM($G$2:G15)</f>
        <v>238653783</v>
      </c>
      <c r="I15">
        <f t="shared" si="3"/>
        <v>198.87815250000003</v>
      </c>
      <c r="J15">
        <f t="shared" si="4"/>
        <v>221.15830450000004</v>
      </c>
      <c r="K15">
        <f t="shared" si="5"/>
        <v>3096.2162630000007</v>
      </c>
    </row>
    <row r="16" spans="1:11">
      <c r="A16">
        <v>15</v>
      </c>
      <c r="B16" s="6">
        <v>6388877</v>
      </c>
      <c r="C16" s="6">
        <v>11111123</v>
      </c>
      <c r="D16">
        <f t="shared" si="0"/>
        <v>4444449.2</v>
      </c>
      <c r="E16">
        <f t="shared" si="1"/>
        <v>7.4074153333333337</v>
      </c>
      <c r="F16">
        <f t="shared" si="2"/>
        <v>12.777754</v>
      </c>
      <c r="G16">
        <f>IFERROR(B16+C16,0)</f>
        <v>17500000</v>
      </c>
      <c r="H16">
        <f>SUM($G$2:G16)</f>
        <v>256153783</v>
      </c>
      <c r="I16">
        <f t="shared" si="3"/>
        <v>213.46148583333334</v>
      </c>
      <c r="J16">
        <f t="shared" si="4"/>
        <v>233.64665516666668</v>
      </c>
      <c r="K16">
        <f t="shared" si="5"/>
        <v>3504.6998275000001</v>
      </c>
    </row>
    <row r="17" spans="1:11">
      <c r="A17">
        <v>16</v>
      </c>
      <c r="B17" s="6">
        <v>5907979</v>
      </c>
      <c r="C17" s="6">
        <v>11592021</v>
      </c>
      <c r="D17">
        <f t="shared" si="0"/>
        <v>4636808.4000000004</v>
      </c>
      <c r="E17">
        <f t="shared" si="1"/>
        <v>7.7280139999999999</v>
      </c>
      <c r="F17">
        <f t="shared" si="2"/>
        <v>11.815958</v>
      </c>
      <c r="G17">
        <f>IFERROR(B17+C17,0)</f>
        <v>17500000</v>
      </c>
      <c r="H17">
        <f>SUM($G$2:G17)</f>
        <v>273653783</v>
      </c>
      <c r="I17">
        <f t="shared" si="3"/>
        <v>228.04481916666668</v>
      </c>
      <c r="J17">
        <f t="shared" si="4"/>
        <v>247.58879116666668</v>
      </c>
      <c r="K17">
        <f t="shared" si="5"/>
        <v>3961.4206586666669</v>
      </c>
    </row>
    <row r="18" spans="1:11">
      <c r="A18">
        <v>17</v>
      </c>
      <c r="B18" s="6">
        <v>6208816</v>
      </c>
      <c r="C18" s="6">
        <v>11291184</v>
      </c>
      <c r="D18">
        <f t="shared" si="0"/>
        <v>4516473.5999999996</v>
      </c>
      <c r="E18">
        <f t="shared" si="1"/>
        <v>7.5274559999999999</v>
      </c>
      <c r="F18">
        <f t="shared" si="2"/>
        <v>12.417631999999999</v>
      </c>
      <c r="G18">
        <f>IFERROR(B18+C18,0)</f>
        <v>17500000</v>
      </c>
      <c r="H18">
        <f>SUM($G$2:G18)</f>
        <v>291153783</v>
      </c>
      <c r="I18">
        <f t="shared" si="3"/>
        <v>242.6281525</v>
      </c>
      <c r="J18">
        <f t="shared" si="4"/>
        <v>262.5732405</v>
      </c>
      <c r="K18">
        <f t="shared" si="5"/>
        <v>4463.7450884999998</v>
      </c>
    </row>
    <row r="19" spans="1:11">
      <c r="A19">
        <v>18</v>
      </c>
      <c r="B19" s="6">
        <v>6593727</v>
      </c>
      <c r="C19" s="6">
        <v>10906273</v>
      </c>
      <c r="D19">
        <f t="shared" si="0"/>
        <v>4362509.2</v>
      </c>
      <c r="E19">
        <f t="shared" si="1"/>
        <v>7.2708486666666667</v>
      </c>
      <c r="F19">
        <f t="shared" si="2"/>
        <v>13.187454000000001</v>
      </c>
      <c r="G19">
        <f>IFERROR(B19+C19,0)</f>
        <v>17500000</v>
      </c>
      <c r="H19">
        <f>SUM($G$2:G19)</f>
        <v>308653783</v>
      </c>
      <c r="I19">
        <f t="shared" si="3"/>
        <v>257.21148583333331</v>
      </c>
      <c r="J19">
        <f t="shared" si="4"/>
        <v>277.66978849999998</v>
      </c>
      <c r="K19">
        <f t="shared" si="5"/>
        <v>4998.0561929999994</v>
      </c>
    </row>
    <row r="20" spans="1:11">
      <c r="A20">
        <v>19</v>
      </c>
      <c r="B20" s="6">
        <v>6490810</v>
      </c>
      <c r="C20" s="6">
        <v>11009190</v>
      </c>
      <c r="D20">
        <f t="shared" si="0"/>
        <v>4403676</v>
      </c>
      <c r="E20">
        <f t="shared" si="1"/>
        <v>7.3394600000000008</v>
      </c>
      <c r="F20">
        <f t="shared" si="2"/>
        <v>12.981619999999999</v>
      </c>
      <c r="G20">
        <f>IFERROR(B20+C20,0)</f>
        <v>17500000</v>
      </c>
      <c r="H20">
        <f>SUM($G$2:G20)</f>
        <v>326153783</v>
      </c>
      <c r="I20">
        <f t="shared" si="3"/>
        <v>271.79481916666668</v>
      </c>
      <c r="J20">
        <f t="shared" si="4"/>
        <v>292.11589916666668</v>
      </c>
      <c r="K20">
        <f t="shared" si="5"/>
        <v>5550.2020841666672</v>
      </c>
    </row>
    <row r="21" spans="1:11">
      <c r="A21">
        <v>20</v>
      </c>
      <c r="B21" s="6">
        <v>6216782</v>
      </c>
      <c r="C21" s="6">
        <v>11283218</v>
      </c>
      <c r="D21">
        <f t="shared" si="0"/>
        <v>4513287.2</v>
      </c>
      <c r="E21">
        <f t="shared" si="1"/>
        <v>7.5221453333333335</v>
      </c>
      <c r="F21">
        <f t="shared" si="2"/>
        <v>12.433564000000001</v>
      </c>
      <c r="G21">
        <f>IFERROR(B21+C21,0)</f>
        <v>17500000</v>
      </c>
      <c r="H21">
        <f>SUM($G$2:G21)</f>
        <v>343653783</v>
      </c>
      <c r="I21">
        <f t="shared" si="3"/>
        <v>286.3781525</v>
      </c>
      <c r="J21">
        <f t="shared" si="4"/>
        <v>306.33386183333334</v>
      </c>
      <c r="K21">
        <f t="shared" si="5"/>
        <v>6126.6772366666664</v>
      </c>
    </row>
    <row r="22" spans="1:11">
      <c r="A22">
        <v>21</v>
      </c>
      <c r="B22" s="6">
        <v>5637094</v>
      </c>
      <c r="C22" s="6">
        <v>11862906</v>
      </c>
      <c r="D22">
        <f t="shared" si="0"/>
        <v>4745162.4000000004</v>
      </c>
      <c r="E22">
        <f t="shared" si="1"/>
        <v>7.9086040000000004</v>
      </c>
      <c r="F22">
        <f t="shared" si="2"/>
        <v>11.274188000000001</v>
      </c>
      <c r="G22">
        <f>IFERROR(B22+C22,0)</f>
        <v>17500000</v>
      </c>
      <c r="H22">
        <f>SUM($G$2:G22)</f>
        <v>361153783</v>
      </c>
      <c r="I22">
        <f t="shared" si="3"/>
        <v>300.96148583333331</v>
      </c>
      <c r="J22">
        <f t="shared" si="4"/>
        <v>320.14427783333332</v>
      </c>
      <c r="K22">
        <f t="shared" si="5"/>
        <v>6723.0298345000001</v>
      </c>
    </row>
    <row r="23" spans="1:11">
      <c r="A23">
        <v>22</v>
      </c>
      <c r="B23" s="6">
        <v>5373391</v>
      </c>
      <c r="C23" s="6">
        <v>12126609</v>
      </c>
      <c r="D23">
        <f t="shared" si="0"/>
        <v>4850643.5999999996</v>
      </c>
      <c r="E23">
        <f t="shared" si="1"/>
        <v>8.0844059999999995</v>
      </c>
      <c r="F23">
        <f t="shared" si="2"/>
        <v>10.746782</v>
      </c>
      <c r="G23">
        <f>IFERROR(B23+C23,0)</f>
        <v>17500000</v>
      </c>
      <c r="H23">
        <f>SUM($G$2:G23)</f>
        <v>378653783</v>
      </c>
      <c r="I23">
        <f t="shared" si="3"/>
        <v>315.54481916666663</v>
      </c>
      <c r="J23">
        <f t="shared" si="4"/>
        <v>334.37600716666662</v>
      </c>
      <c r="K23">
        <f t="shared" si="5"/>
        <v>7356.2721576666654</v>
      </c>
    </row>
    <row r="24" spans="1:11">
      <c r="A24">
        <v>23</v>
      </c>
      <c r="B24" s="6">
        <v>5163396</v>
      </c>
      <c r="C24" s="6">
        <v>12336604</v>
      </c>
      <c r="D24">
        <f t="shared" si="0"/>
        <v>4934641.5999999996</v>
      </c>
      <c r="E24">
        <f t="shared" si="1"/>
        <v>8.2244026666666663</v>
      </c>
      <c r="F24">
        <f t="shared" si="2"/>
        <v>10.326791999999999</v>
      </c>
      <c r="G24">
        <f>IFERROR(B24+C24,0)</f>
        <v>17500000</v>
      </c>
      <c r="H24">
        <f>SUM($G$2:G24)</f>
        <v>396153783</v>
      </c>
      <c r="I24">
        <f t="shared" si="3"/>
        <v>330.1281525</v>
      </c>
      <c r="J24">
        <f t="shared" si="4"/>
        <v>348.67934716666667</v>
      </c>
      <c r="K24">
        <f t="shared" si="5"/>
        <v>8019.6249848333337</v>
      </c>
    </row>
    <row r="25" spans="1:11">
      <c r="A25">
        <v>24</v>
      </c>
      <c r="B25" s="6">
        <v>5107661</v>
      </c>
      <c r="C25" s="6">
        <v>12392339</v>
      </c>
      <c r="D25">
        <f t="shared" si="0"/>
        <v>4956935.5999999996</v>
      </c>
      <c r="E25">
        <f t="shared" si="1"/>
        <v>8.2615593333333326</v>
      </c>
      <c r="F25">
        <f t="shared" si="2"/>
        <v>10.215322</v>
      </c>
      <c r="G25">
        <f>IFERROR(B25+C25,0)</f>
        <v>17500000</v>
      </c>
      <c r="H25">
        <f>SUM($G$2:G25)</f>
        <v>413653783</v>
      </c>
      <c r="I25">
        <f t="shared" si="3"/>
        <v>344.71148583333331</v>
      </c>
      <c r="J25">
        <f t="shared" si="4"/>
        <v>363.18836716666664</v>
      </c>
      <c r="K25">
        <f t="shared" si="5"/>
        <v>8716.5208119999988</v>
      </c>
    </row>
    <row r="26" spans="1:11">
      <c r="A26">
        <v>25</v>
      </c>
      <c r="B26" s="6">
        <v>4990229</v>
      </c>
      <c r="C26" s="6">
        <v>12509771</v>
      </c>
      <c r="D26">
        <f t="shared" si="0"/>
        <v>5003908.4000000004</v>
      </c>
      <c r="E26">
        <f t="shared" si="1"/>
        <v>8.3398473333333349</v>
      </c>
      <c r="F26">
        <f t="shared" si="2"/>
        <v>9.9804580000000005</v>
      </c>
      <c r="G26">
        <f>IFERROR(B26+C26,0)</f>
        <v>17500000</v>
      </c>
      <c r="H26">
        <f>SUM($G$2:G26)</f>
        <v>431153783</v>
      </c>
      <c r="I26">
        <f t="shared" si="3"/>
        <v>359.29481916666663</v>
      </c>
      <c r="J26">
        <f t="shared" si="4"/>
        <v>377.61512449999998</v>
      </c>
      <c r="K26">
        <f t="shared" si="5"/>
        <v>9440.3781124999987</v>
      </c>
    </row>
    <row r="27" spans="1:11">
      <c r="A27">
        <v>26</v>
      </c>
      <c r="B27" s="6">
        <v>4696377</v>
      </c>
      <c r="C27" s="6">
        <v>12803623</v>
      </c>
      <c r="D27">
        <f t="shared" si="0"/>
        <v>5121449.2</v>
      </c>
      <c r="E27">
        <f t="shared" si="1"/>
        <v>8.5357486666666667</v>
      </c>
      <c r="F27">
        <f t="shared" si="2"/>
        <v>9.392754</v>
      </c>
      <c r="G27">
        <f t="shared" ref="G27:G29" si="6">IFERROR(B27+C27,0)</f>
        <v>17500000</v>
      </c>
      <c r="H27">
        <f>SUM($G$2:G27)</f>
        <v>448653783</v>
      </c>
      <c r="I27">
        <f t="shared" si="3"/>
        <v>373.8781525</v>
      </c>
      <c r="J27">
        <f t="shared" si="4"/>
        <v>391.8066551666667</v>
      </c>
      <c r="K27">
        <f t="shared" si="5"/>
        <v>10186.973034333334</v>
      </c>
    </row>
    <row r="28" spans="1:11">
      <c r="A28">
        <v>27</v>
      </c>
      <c r="B28" s="6">
        <v>6155651</v>
      </c>
      <c r="C28" s="6">
        <v>11344349</v>
      </c>
      <c r="D28">
        <f t="shared" si="0"/>
        <v>4537739.5999999996</v>
      </c>
      <c r="E28">
        <f t="shared" si="1"/>
        <v>7.5628993333333332</v>
      </c>
      <c r="F28">
        <f t="shared" si="2"/>
        <v>12.311302</v>
      </c>
      <c r="G28">
        <f t="shared" si="6"/>
        <v>17500000</v>
      </c>
      <c r="H28">
        <f>SUM($G$2:G28)</f>
        <v>466153783</v>
      </c>
      <c r="I28">
        <f t="shared" si="3"/>
        <v>388.46148583333331</v>
      </c>
      <c r="J28">
        <f t="shared" si="4"/>
        <v>408.33568716666667</v>
      </c>
      <c r="K28">
        <f t="shared" si="5"/>
        <v>11025.0635535</v>
      </c>
    </row>
    <row r="29" spans="1:11">
      <c r="A29">
        <v>28</v>
      </c>
      <c r="B29" s="6">
        <v>6190356</v>
      </c>
      <c r="C29" s="6">
        <v>9437621</v>
      </c>
      <c r="D29">
        <f t="shared" si="0"/>
        <v>3775048.4</v>
      </c>
      <c r="E29">
        <f t="shared" si="1"/>
        <v>6.2917473333333334</v>
      </c>
      <c r="F29">
        <f t="shared" si="2"/>
        <v>12.380712000000001</v>
      </c>
      <c r="G29">
        <f t="shared" si="6"/>
        <v>15627977</v>
      </c>
      <c r="H29">
        <f>SUM($G$2:G29)</f>
        <v>481781760</v>
      </c>
      <c r="I29">
        <f t="shared" si="3"/>
        <v>401.48480000000001</v>
      </c>
      <c r="J29">
        <f t="shared" si="4"/>
        <v>420.15725933333334</v>
      </c>
      <c r="K29">
        <f t="shared" si="5"/>
        <v>11764.403261333333</v>
      </c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259752957</v>
      </c>
    </row>
    <row r="37" spans="1:10">
      <c r="H37" s="14" t="s">
        <v>37</v>
      </c>
      <c r="I37" t="s">
        <v>2</v>
      </c>
      <c r="J37" s="15">
        <f>MAX(K2:K33)</f>
        <v>11764.403261333333</v>
      </c>
    </row>
    <row r="38" spans="1:10">
      <c r="I38" t="s">
        <v>3</v>
      </c>
      <c r="J38" s="15">
        <f>MAX(J2:J33)</f>
        <v>420.15725933333334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>
        <v>1</v>
      </c>
      <c r="B60" s="6">
        <v>10500000</v>
      </c>
      <c r="C60" s="6">
        <v>6191049</v>
      </c>
      <c r="D60" s="6">
        <v>0.59</v>
      </c>
      <c r="E60" s="6">
        <v>2.2932000000000001</v>
      </c>
      <c r="F60" s="6">
        <v>857457389</v>
      </c>
      <c r="G60" s="6">
        <v>779506717</v>
      </c>
    </row>
    <row r="61" spans="1:9">
      <c r="A61" s="6">
        <v>2</v>
      </c>
      <c r="B61" s="6">
        <v>10500000</v>
      </c>
      <c r="C61" s="6">
        <v>6327559</v>
      </c>
      <c r="D61" s="6">
        <v>0.6</v>
      </c>
      <c r="E61" s="6">
        <v>1.7402</v>
      </c>
      <c r="F61" s="6">
        <v>588280146</v>
      </c>
      <c r="G61" s="6">
        <v>486181939</v>
      </c>
    </row>
    <row r="62" spans="1:9">
      <c r="A62" s="6">
        <v>3</v>
      </c>
      <c r="B62" s="6">
        <v>10496812</v>
      </c>
      <c r="C62" s="6">
        <v>7003188</v>
      </c>
      <c r="D62" s="6">
        <v>0.67</v>
      </c>
      <c r="E62" s="6">
        <v>2.1724999999999999</v>
      </c>
      <c r="F62" s="6">
        <v>795927480</v>
      </c>
      <c r="G62" s="6">
        <v>597992096</v>
      </c>
    </row>
    <row r="63" spans="1:9">
      <c r="A63" s="6">
        <v>4</v>
      </c>
      <c r="B63" s="6">
        <v>10150747</v>
      </c>
      <c r="C63" s="6">
        <v>7349253</v>
      </c>
      <c r="D63" s="6">
        <v>0.72</v>
      </c>
      <c r="E63" s="6">
        <v>2.5081000000000002</v>
      </c>
      <c r="F63" s="6">
        <v>925430255</v>
      </c>
      <c r="G63" s="6">
        <v>632081316</v>
      </c>
    </row>
    <row r="64" spans="1:9">
      <c r="A64" s="6">
        <v>5</v>
      </c>
      <c r="B64" s="6">
        <v>9326528</v>
      </c>
      <c r="C64" s="6">
        <v>8173472</v>
      </c>
      <c r="D64" s="6">
        <v>0.88</v>
      </c>
      <c r="E64" s="6">
        <v>2.488</v>
      </c>
      <c r="F64" s="6">
        <v>836971164</v>
      </c>
      <c r="G64" s="6">
        <v>519693243</v>
      </c>
    </row>
    <row r="65" spans="1:7">
      <c r="A65" s="6">
        <v>6</v>
      </c>
      <c r="B65" s="6">
        <v>10131772</v>
      </c>
      <c r="C65" s="6">
        <v>7368228</v>
      </c>
      <c r="D65" s="6">
        <v>0.73</v>
      </c>
      <c r="E65" s="6">
        <v>2.5015999999999998</v>
      </c>
      <c r="F65" s="6">
        <v>920530388</v>
      </c>
      <c r="G65" s="6">
        <v>519615406</v>
      </c>
    </row>
    <row r="66" spans="1:7">
      <c r="A66" s="6">
        <v>7</v>
      </c>
      <c r="B66" s="6">
        <v>10500000</v>
      </c>
      <c r="C66" s="6">
        <v>5558252</v>
      </c>
      <c r="D66" s="6">
        <v>0.53</v>
      </c>
      <c r="E66" s="6">
        <v>2.3797999999999999</v>
      </c>
      <c r="F66" s="6">
        <v>901618414</v>
      </c>
      <c r="G66" s="6">
        <v>462672809</v>
      </c>
    </row>
    <row r="67" spans="1:7">
      <c r="A67" s="6">
        <v>8</v>
      </c>
      <c r="B67" s="6">
        <v>10500000</v>
      </c>
      <c r="C67" s="6">
        <v>5419607</v>
      </c>
      <c r="D67" s="6">
        <v>0.52</v>
      </c>
      <c r="E67" s="6">
        <v>2.3569</v>
      </c>
      <c r="F67" s="6">
        <v>890963281</v>
      </c>
      <c r="G67" s="6">
        <v>415640946</v>
      </c>
    </row>
    <row r="68" spans="1:7">
      <c r="A68" s="6">
        <v>9</v>
      </c>
      <c r="B68" s="6">
        <v>10500000</v>
      </c>
      <c r="C68" s="6">
        <v>5179698</v>
      </c>
      <c r="D68" s="6">
        <v>0.49</v>
      </c>
      <c r="E68" s="6">
        <v>2.3864000000000001</v>
      </c>
      <c r="F68" s="6">
        <v>906095013</v>
      </c>
      <c r="G68" s="6">
        <v>384272737</v>
      </c>
    </row>
    <row r="69" spans="1:7">
      <c r="A69" s="6">
        <v>10</v>
      </c>
      <c r="B69" s="6">
        <v>10498760</v>
      </c>
      <c r="C69" s="6">
        <v>7001240</v>
      </c>
      <c r="D69" s="6">
        <v>0.67</v>
      </c>
      <c r="E69" s="6">
        <v>2.4697</v>
      </c>
      <c r="F69" s="6">
        <v>940483433</v>
      </c>
      <c r="G69" s="6">
        <v>362597077</v>
      </c>
    </row>
    <row r="70" spans="1:7">
      <c r="A70" s="6">
        <v>11</v>
      </c>
      <c r="B70" s="6">
        <v>10500000</v>
      </c>
      <c r="C70" s="6">
        <v>6977618</v>
      </c>
      <c r="D70" s="6">
        <v>0.66</v>
      </c>
      <c r="E70" s="6">
        <v>2.5146000000000002</v>
      </c>
      <c r="F70" s="6">
        <v>962463962</v>
      </c>
      <c r="G70" s="6">
        <v>337337747</v>
      </c>
    </row>
    <row r="71" spans="1:7">
      <c r="A71" s="6">
        <v>12</v>
      </c>
      <c r="B71" s="6">
        <v>10298199</v>
      </c>
      <c r="C71" s="6">
        <v>7201801</v>
      </c>
      <c r="D71" s="6">
        <v>0.7</v>
      </c>
      <c r="E71" s="6">
        <v>2.8108</v>
      </c>
      <c r="F71" s="6">
        <v>1083958744</v>
      </c>
      <c r="G71" s="6">
        <v>345382661</v>
      </c>
    </row>
    <row r="72" spans="1:7">
      <c r="A72" s="6">
        <v>13</v>
      </c>
      <c r="B72" s="6">
        <v>9044725</v>
      </c>
      <c r="C72" s="6">
        <v>8455275</v>
      </c>
      <c r="D72" s="6">
        <v>0.93</v>
      </c>
      <c r="E72" s="6">
        <v>0.99470000000000003</v>
      </c>
      <c r="F72" s="6">
        <v>184842935</v>
      </c>
      <c r="G72" s="6">
        <v>53542414</v>
      </c>
    </row>
    <row r="73" spans="1:7">
      <c r="A73" s="6">
        <v>14</v>
      </c>
      <c r="B73" s="6">
        <v>7960114</v>
      </c>
      <c r="C73" s="6">
        <v>9539886</v>
      </c>
      <c r="D73" s="6">
        <v>1.2</v>
      </c>
      <c r="E73" s="6">
        <v>1.1785000000000001</v>
      </c>
      <c r="F73" s="6">
        <v>223530655</v>
      </c>
      <c r="G73" s="6">
        <v>58862608</v>
      </c>
    </row>
    <row r="74" spans="1:7">
      <c r="A74" s="6">
        <v>15</v>
      </c>
      <c r="B74" s="6">
        <v>6388877</v>
      </c>
      <c r="C74" s="6">
        <v>11111123</v>
      </c>
      <c r="D74" s="6">
        <v>1.74</v>
      </c>
      <c r="E74" s="6">
        <v>1.1435</v>
      </c>
      <c r="F74" s="6">
        <v>157722868</v>
      </c>
      <c r="G74" s="6">
        <v>37757601</v>
      </c>
    </row>
    <row r="75" spans="1:7">
      <c r="A75" s="6">
        <v>16</v>
      </c>
      <c r="B75" s="6">
        <v>5907979</v>
      </c>
      <c r="C75" s="6">
        <v>11592021</v>
      </c>
      <c r="D75" s="6">
        <v>1.96</v>
      </c>
      <c r="E75" s="6">
        <v>1.0771999999999999</v>
      </c>
      <c r="F75" s="6">
        <v>123391114</v>
      </c>
      <c r="G75" s="6">
        <v>26853502</v>
      </c>
    </row>
    <row r="76" spans="1:7">
      <c r="A76" s="6">
        <v>17</v>
      </c>
      <c r="B76" s="6">
        <v>6208816</v>
      </c>
      <c r="C76" s="6">
        <v>11291184</v>
      </c>
      <c r="D76" s="6">
        <v>1.82</v>
      </c>
      <c r="E76" s="6">
        <v>1.1558999999999999</v>
      </c>
      <c r="F76" s="6">
        <v>155205379</v>
      </c>
      <c r="G76" s="6">
        <v>30706557</v>
      </c>
    </row>
    <row r="77" spans="1:7">
      <c r="A77" s="6">
        <v>18</v>
      </c>
      <c r="B77" s="6">
        <v>6593727</v>
      </c>
      <c r="C77" s="6">
        <v>10906273</v>
      </c>
      <c r="D77" s="6">
        <v>1.65</v>
      </c>
      <c r="E77" s="6">
        <v>1.2082999999999999</v>
      </c>
      <c r="F77" s="6">
        <v>184373732</v>
      </c>
      <c r="G77" s="6">
        <v>33161236</v>
      </c>
    </row>
    <row r="78" spans="1:7">
      <c r="A78" s="6">
        <v>19</v>
      </c>
      <c r="B78" s="6">
        <v>6490810</v>
      </c>
      <c r="C78" s="6">
        <v>11009190</v>
      </c>
      <c r="D78" s="6">
        <v>1.7</v>
      </c>
      <c r="E78" s="6">
        <v>1.2189000000000001</v>
      </c>
      <c r="F78" s="6">
        <v>183806553</v>
      </c>
      <c r="G78" s="6">
        <v>30053840</v>
      </c>
    </row>
    <row r="79" spans="1:7">
      <c r="A79" s="6">
        <v>20</v>
      </c>
      <c r="B79" s="6">
        <v>6216782</v>
      </c>
      <c r="C79" s="6">
        <v>11283218</v>
      </c>
      <c r="D79" s="6">
        <v>1.81</v>
      </c>
      <c r="E79" s="6">
        <v>1.2506999999999999</v>
      </c>
      <c r="F79" s="6">
        <v>182771062</v>
      </c>
      <c r="G79" s="6">
        <v>27167754</v>
      </c>
    </row>
    <row r="80" spans="1:7">
      <c r="A80" s="6">
        <v>21</v>
      </c>
      <c r="B80" s="6">
        <v>5637094</v>
      </c>
      <c r="C80" s="6">
        <v>11862906</v>
      </c>
      <c r="D80" s="6">
        <v>2.1</v>
      </c>
      <c r="E80" s="6">
        <v>1.2504</v>
      </c>
      <c r="F80" s="6">
        <v>160283903</v>
      </c>
      <c r="G80" s="6">
        <v>21659255</v>
      </c>
    </row>
    <row r="81" spans="1:7">
      <c r="A81" s="6">
        <v>22</v>
      </c>
      <c r="B81" s="6">
        <v>5373391</v>
      </c>
      <c r="C81" s="6">
        <v>12126609</v>
      </c>
      <c r="D81" s="6">
        <v>2.2599999999999998</v>
      </c>
      <c r="E81" s="6">
        <v>1.2917000000000001</v>
      </c>
      <c r="F81" s="6">
        <v>160383898</v>
      </c>
      <c r="G81" s="6">
        <v>19702516</v>
      </c>
    </row>
    <row r="82" spans="1:7">
      <c r="A82" s="6">
        <v>23</v>
      </c>
      <c r="B82" s="6">
        <v>5163396</v>
      </c>
      <c r="C82" s="6">
        <v>12336604</v>
      </c>
      <c r="D82" s="6">
        <v>2.39</v>
      </c>
      <c r="E82" s="6">
        <v>1.3856999999999999</v>
      </c>
      <c r="F82" s="6">
        <v>174328750</v>
      </c>
      <c r="G82" s="6">
        <v>19468714</v>
      </c>
    </row>
    <row r="83" spans="1:7">
      <c r="A83" s="6">
        <v>24</v>
      </c>
      <c r="B83" s="6">
        <v>5107661</v>
      </c>
      <c r="C83" s="6">
        <v>12392339</v>
      </c>
      <c r="D83" s="6">
        <v>2.4300000000000002</v>
      </c>
      <c r="E83" s="6">
        <v>1.4728000000000001</v>
      </c>
      <c r="F83" s="6">
        <v>192417509</v>
      </c>
      <c r="G83" s="6">
        <v>19535303</v>
      </c>
    </row>
    <row r="84" spans="1:7">
      <c r="A84" s="6">
        <v>25</v>
      </c>
      <c r="B84" s="6">
        <v>4990229</v>
      </c>
      <c r="C84" s="6">
        <v>12509771</v>
      </c>
      <c r="D84" s="6">
        <v>2.5099999999999998</v>
      </c>
      <c r="E84" s="6">
        <v>1.6124000000000001</v>
      </c>
      <c r="F84" s="6">
        <v>218907375</v>
      </c>
      <c r="G84" s="6">
        <v>20204275</v>
      </c>
    </row>
    <row r="85" spans="1:7">
      <c r="A85" s="6">
        <v>26</v>
      </c>
      <c r="B85" s="6">
        <v>4696377</v>
      </c>
      <c r="C85" s="6">
        <v>12803623</v>
      </c>
      <c r="D85" s="6">
        <v>2.73</v>
      </c>
      <c r="E85" s="6">
        <v>1.8320000000000001</v>
      </c>
      <c r="F85" s="6">
        <v>250363329</v>
      </c>
      <c r="G85" s="6">
        <v>21006849</v>
      </c>
    </row>
    <row r="86" spans="1:7">
      <c r="A86" s="6">
        <v>27</v>
      </c>
      <c r="B86" s="6">
        <v>6155651</v>
      </c>
      <c r="C86" s="6">
        <v>11344349</v>
      </c>
      <c r="D86" s="6">
        <v>1.84</v>
      </c>
      <c r="E86" s="6">
        <v>1.7958000000000001</v>
      </c>
      <c r="F86" s="6">
        <v>335678959</v>
      </c>
      <c r="G86" s="6">
        <v>25604814</v>
      </c>
    </row>
    <row r="87" spans="1:7">
      <c r="A87" s="6">
        <v>28</v>
      </c>
      <c r="B87" s="6">
        <v>6190356</v>
      </c>
      <c r="C87" s="6">
        <v>9437621</v>
      </c>
      <c r="D87" s="6">
        <v>1.52</v>
      </c>
      <c r="E87" s="6">
        <v>2.1991999999999998</v>
      </c>
      <c r="F87" s="6">
        <v>459618848</v>
      </c>
      <c r="G87" s="6">
        <v>32198122</v>
      </c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0"/>
  <sheetViews>
    <sheetView workbookViewId="0">
      <selection activeCell="I12" sqref="I12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11400000</v>
      </c>
      <c r="C2" s="6">
        <v>6724635</v>
      </c>
      <c r="D2">
        <f>C2/2.5</f>
        <v>2689854</v>
      </c>
      <c r="E2">
        <f>(D2/60)/10000</f>
        <v>4.4830899999999998</v>
      </c>
      <c r="F2">
        <f>(B2*2)/1000000</f>
        <v>22.8</v>
      </c>
      <c r="G2">
        <f>IFERROR(B2+C2,0)</f>
        <v>18124635</v>
      </c>
      <c r="H2">
        <f>SUM($G$2:G2)</f>
        <v>18124635</v>
      </c>
      <c r="I2">
        <f>((H2/2.5)/49)/10000</f>
        <v>14.795620408163266</v>
      </c>
      <c r="J2">
        <f>I2+F2+E2</f>
        <v>42.078710408163268</v>
      </c>
      <c r="K2">
        <f>A2*J2</f>
        <v>42.078710408163268</v>
      </c>
    </row>
    <row r="3" spans="1:11">
      <c r="A3">
        <v>2</v>
      </c>
      <c r="B3" s="6">
        <v>11400000</v>
      </c>
      <c r="C3" s="6">
        <v>6884902</v>
      </c>
      <c r="D3">
        <f t="shared" ref="D3:D29" si="0">C3/2.5</f>
        <v>2753960.8</v>
      </c>
      <c r="E3">
        <f t="shared" ref="E3:E29" si="1">(D3/60)/10000</f>
        <v>4.5899346666666663</v>
      </c>
      <c r="F3">
        <f t="shared" ref="F3:F34" si="2">(B3*2)/1000000</f>
        <v>22.8</v>
      </c>
      <c r="G3">
        <f>IFERROR(B3+C3,0)</f>
        <v>18284902</v>
      </c>
      <c r="H3">
        <f>SUM($G$2:G3)</f>
        <v>36409537</v>
      </c>
      <c r="I3">
        <f t="shared" ref="I3:I28" si="3">((H3/2.5)/49)/10000</f>
        <v>29.722071020408166</v>
      </c>
      <c r="J3">
        <f t="shared" ref="J3:J29" si="4">I3+F3+E3</f>
        <v>57.112005687074827</v>
      </c>
      <c r="K3">
        <f t="shared" ref="K3:K29" si="5">A3*J3</f>
        <v>114.22401137414965</v>
      </c>
    </row>
    <row r="4" spans="1:11">
      <c r="A4">
        <v>3</v>
      </c>
      <c r="B4" s="6">
        <v>11348756</v>
      </c>
      <c r="C4" s="6">
        <v>7651244</v>
      </c>
      <c r="D4">
        <f t="shared" si="0"/>
        <v>3060497.6</v>
      </c>
      <c r="E4">
        <f t="shared" si="1"/>
        <v>5.1008293333333334</v>
      </c>
      <c r="F4">
        <f t="shared" si="2"/>
        <v>22.697512</v>
      </c>
      <c r="G4">
        <f>IFERROR(B4+C4,0)</f>
        <v>19000000</v>
      </c>
      <c r="H4">
        <f>SUM($G$2:G4)</f>
        <v>55409537</v>
      </c>
      <c r="I4">
        <f t="shared" si="3"/>
        <v>45.232275102040816</v>
      </c>
      <c r="J4">
        <f t="shared" si="4"/>
        <v>73.030616435374156</v>
      </c>
      <c r="K4">
        <f t="shared" si="5"/>
        <v>219.09184930612247</v>
      </c>
    </row>
    <row r="5" spans="1:11">
      <c r="A5">
        <v>4</v>
      </c>
      <c r="B5" s="6">
        <v>10813836</v>
      </c>
      <c r="C5" s="6">
        <v>8186164</v>
      </c>
      <c r="D5">
        <f t="shared" si="0"/>
        <v>3274465.6</v>
      </c>
      <c r="E5">
        <f t="shared" si="1"/>
        <v>5.4574426666666662</v>
      </c>
      <c r="F5">
        <f t="shared" si="2"/>
        <v>21.627672</v>
      </c>
      <c r="G5">
        <f>IFERROR(B5+C5,0)</f>
        <v>19000000</v>
      </c>
      <c r="H5">
        <f>SUM($G$2:G5)</f>
        <v>74409537</v>
      </c>
      <c r="I5">
        <f t="shared" si="3"/>
        <v>60.742479183673474</v>
      </c>
      <c r="J5">
        <f t="shared" si="4"/>
        <v>87.827593850340136</v>
      </c>
      <c r="K5">
        <f t="shared" si="5"/>
        <v>351.31037540136055</v>
      </c>
    </row>
    <row r="6" spans="1:11">
      <c r="A6">
        <v>5</v>
      </c>
      <c r="B6" s="6">
        <v>10251892</v>
      </c>
      <c r="C6" s="6">
        <v>8748108</v>
      </c>
      <c r="D6">
        <f t="shared" si="0"/>
        <v>3499243.2</v>
      </c>
      <c r="E6">
        <f t="shared" si="1"/>
        <v>5.8320720000000001</v>
      </c>
      <c r="F6">
        <f t="shared" si="2"/>
        <v>20.503784</v>
      </c>
      <c r="G6">
        <f>IFERROR(B6+C6,0)</f>
        <v>19000000</v>
      </c>
      <c r="H6">
        <f>SUM($G$2:G6)</f>
        <v>93409537</v>
      </c>
      <c r="I6">
        <f t="shared" si="3"/>
        <v>76.252683265306118</v>
      </c>
      <c r="J6">
        <f t="shared" si="4"/>
        <v>102.58853926530611</v>
      </c>
      <c r="K6">
        <f t="shared" si="5"/>
        <v>512.94269632653049</v>
      </c>
    </row>
    <row r="7" spans="1:11">
      <c r="A7">
        <v>6</v>
      </c>
      <c r="B7" s="6">
        <v>11400000</v>
      </c>
      <c r="C7" s="6">
        <v>6903982</v>
      </c>
      <c r="D7">
        <f t="shared" si="0"/>
        <v>2761592.8</v>
      </c>
      <c r="E7">
        <f t="shared" si="1"/>
        <v>4.6026546666666661</v>
      </c>
      <c r="F7">
        <f t="shared" si="2"/>
        <v>22.8</v>
      </c>
      <c r="G7">
        <f>IFERROR(B7+C7,0)</f>
        <v>18303982</v>
      </c>
      <c r="H7">
        <f>SUM($G$2:G7)</f>
        <v>111713519</v>
      </c>
      <c r="I7">
        <f t="shared" si="3"/>
        <v>91.194709387755097</v>
      </c>
      <c r="J7">
        <f t="shared" si="4"/>
        <v>118.59736405442176</v>
      </c>
      <c r="K7">
        <f t="shared" si="5"/>
        <v>711.58418432653059</v>
      </c>
    </row>
    <row r="8" spans="1:11">
      <c r="A8">
        <v>7</v>
      </c>
      <c r="B8" s="6">
        <v>11400000</v>
      </c>
      <c r="C8" s="6">
        <v>5879981</v>
      </c>
      <c r="D8">
        <f t="shared" si="0"/>
        <v>2351992.4</v>
      </c>
      <c r="E8">
        <f t="shared" si="1"/>
        <v>3.9199873333333328</v>
      </c>
      <c r="F8">
        <f t="shared" si="2"/>
        <v>22.8</v>
      </c>
      <c r="G8">
        <f>IFERROR(B8+C8,0)</f>
        <v>17279981</v>
      </c>
      <c r="H8">
        <f>SUM($G$2:G8)</f>
        <v>128993500</v>
      </c>
      <c r="I8">
        <f t="shared" si="3"/>
        <v>105.30081632653061</v>
      </c>
      <c r="J8">
        <f t="shared" si="4"/>
        <v>132.02080365986393</v>
      </c>
      <c r="K8">
        <f t="shared" si="5"/>
        <v>924.14562561904745</v>
      </c>
    </row>
    <row r="9" spans="1:11">
      <c r="A9">
        <v>8</v>
      </c>
      <c r="B9" s="6">
        <v>11400000</v>
      </c>
      <c r="C9" s="6">
        <v>6032777</v>
      </c>
      <c r="D9">
        <f t="shared" si="0"/>
        <v>2413110.7999999998</v>
      </c>
      <c r="E9">
        <f t="shared" si="1"/>
        <v>4.0218513333333332</v>
      </c>
      <c r="F9">
        <f t="shared" si="2"/>
        <v>22.8</v>
      </c>
      <c r="G9">
        <f>IFERROR(B9+C9,0)</f>
        <v>17432777</v>
      </c>
      <c r="H9">
        <f>SUM($G$2:G9)</f>
        <v>146426277</v>
      </c>
      <c r="I9">
        <f t="shared" si="3"/>
        <v>119.53165469387753</v>
      </c>
      <c r="J9">
        <f t="shared" si="4"/>
        <v>146.35350602721087</v>
      </c>
      <c r="K9">
        <f t="shared" si="5"/>
        <v>1170.828048217687</v>
      </c>
    </row>
    <row r="10" spans="1:11">
      <c r="A10">
        <v>9</v>
      </c>
      <c r="B10" s="6">
        <v>11400000</v>
      </c>
      <c r="C10" s="6">
        <v>7317442</v>
      </c>
      <c r="D10">
        <f t="shared" si="0"/>
        <v>2926976.8</v>
      </c>
      <c r="E10">
        <f t="shared" si="1"/>
        <v>4.8782946666666662</v>
      </c>
      <c r="F10">
        <f t="shared" si="2"/>
        <v>22.8</v>
      </c>
      <c r="G10">
        <f>IFERROR(B10+C10,0)</f>
        <v>18717442</v>
      </c>
      <c r="H10">
        <f>SUM($G$2:G10)</f>
        <v>165143719</v>
      </c>
      <c r="I10">
        <f t="shared" si="3"/>
        <v>134.81119918367349</v>
      </c>
      <c r="J10">
        <f t="shared" si="4"/>
        <v>162.48949385034018</v>
      </c>
      <c r="K10">
        <f t="shared" si="5"/>
        <v>1462.4054446530617</v>
      </c>
    </row>
    <row r="11" spans="1:11">
      <c r="A11">
        <v>10</v>
      </c>
      <c r="B11" s="6">
        <v>11400000</v>
      </c>
      <c r="C11" s="6">
        <v>7591410</v>
      </c>
      <c r="D11">
        <f t="shared" si="0"/>
        <v>3036564</v>
      </c>
      <c r="E11">
        <f t="shared" si="1"/>
        <v>5.0609400000000004</v>
      </c>
      <c r="F11">
        <f t="shared" si="2"/>
        <v>22.8</v>
      </c>
      <c r="G11">
        <f>IFERROR(B11+C11,0)</f>
        <v>18991410</v>
      </c>
      <c r="H11">
        <f>SUM($G$2:G11)</f>
        <v>184135129</v>
      </c>
      <c r="I11">
        <f t="shared" si="3"/>
        <v>150.31439102040815</v>
      </c>
      <c r="J11">
        <f t="shared" si="4"/>
        <v>178.17533102040815</v>
      </c>
      <c r="K11">
        <f t="shared" si="5"/>
        <v>1781.7533102040816</v>
      </c>
    </row>
    <row r="12" spans="1:11">
      <c r="A12">
        <v>11</v>
      </c>
      <c r="B12" s="6">
        <v>11389472</v>
      </c>
      <c r="C12" s="6">
        <v>7610528</v>
      </c>
      <c r="D12">
        <f t="shared" si="0"/>
        <v>3044211.2</v>
      </c>
      <c r="E12">
        <f t="shared" si="1"/>
        <v>5.0736853333333336</v>
      </c>
      <c r="F12">
        <f t="shared" si="2"/>
        <v>22.778943999999999</v>
      </c>
      <c r="G12">
        <f>IFERROR(B12+C12,0)</f>
        <v>19000000</v>
      </c>
      <c r="H12">
        <f>SUM($G$2:G12)</f>
        <v>203135129</v>
      </c>
      <c r="I12">
        <f t="shared" si="3"/>
        <v>165.8245951020408</v>
      </c>
      <c r="J12">
        <f t="shared" si="4"/>
        <v>193.67722443537414</v>
      </c>
      <c r="K12">
        <f t="shared" si="5"/>
        <v>2130.4494687891156</v>
      </c>
    </row>
    <row r="13" spans="1:11">
      <c r="A13">
        <v>12</v>
      </c>
      <c r="B13" s="6">
        <v>9749950</v>
      </c>
      <c r="C13" s="6">
        <v>9250050</v>
      </c>
      <c r="D13">
        <f t="shared" si="0"/>
        <v>3700020</v>
      </c>
      <c r="E13">
        <f t="shared" si="1"/>
        <v>6.1666999999999996</v>
      </c>
      <c r="F13">
        <f t="shared" si="2"/>
        <v>19.4999</v>
      </c>
      <c r="G13">
        <f>IFERROR(B13+C13,0)</f>
        <v>19000000</v>
      </c>
      <c r="H13">
        <f>SUM($G$2:G13)</f>
        <v>222135129</v>
      </c>
      <c r="I13">
        <f t="shared" si="3"/>
        <v>181.33479918367345</v>
      </c>
      <c r="J13">
        <f t="shared" si="4"/>
        <v>207.00139918367344</v>
      </c>
      <c r="K13">
        <f t="shared" si="5"/>
        <v>2484.0167902040812</v>
      </c>
    </row>
    <row r="14" spans="1:11">
      <c r="A14">
        <v>13</v>
      </c>
      <c r="B14" s="6">
        <v>8122458</v>
      </c>
      <c r="C14" s="6">
        <v>10877542</v>
      </c>
      <c r="D14">
        <f t="shared" si="0"/>
        <v>4351016.8</v>
      </c>
      <c r="E14">
        <f t="shared" si="1"/>
        <v>7.2516946666666673</v>
      </c>
      <c r="F14">
        <f t="shared" si="2"/>
        <v>16.244916</v>
      </c>
      <c r="G14">
        <f>IFERROR(B14+C14,0)</f>
        <v>19000000</v>
      </c>
      <c r="H14">
        <f>SUM($G$2:G14)</f>
        <v>241135129</v>
      </c>
      <c r="I14">
        <f t="shared" si="3"/>
        <v>196.84500326530613</v>
      </c>
      <c r="J14">
        <f t="shared" si="4"/>
        <v>220.3416139319728</v>
      </c>
      <c r="K14">
        <f t="shared" si="5"/>
        <v>2864.4409811156465</v>
      </c>
    </row>
    <row r="15" spans="1:11">
      <c r="A15">
        <v>14</v>
      </c>
      <c r="B15" s="6">
        <v>6471508</v>
      </c>
      <c r="C15" s="6">
        <v>12528492</v>
      </c>
      <c r="D15">
        <f t="shared" si="0"/>
        <v>5011396.8</v>
      </c>
      <c r="E15">
        <f t="shared" si="1"/>
        <v>8.352328</v>
      </c>
      <c r="F15">
        <f t="shared" si="2"/>
        <v>12.943016</v>
      </c>
      <c r="G15">
        <f>IFERROR(B15+C15,0)</f>
        <v>19000000</v>
      </c>
      <c r="H15">
        <f>SUM($G$2:G15)</f>
        <v>260135129</v>
      </c>
      <c r="I15">
        <f t="shared" si="3"/>
        <v>212.35520734693878</v>
      </c>
      <c r="J15">
        <f t="shared" si="4"/>
        <v>233.65055134693878</v>
      </c>
      <c r="K15">
        <f t="shared" si="5"/>
        <v>3271.107718857143</v>
      </c>
    </row>
    <row r="16" spans="1:11">
      <c r="A16">
        <v>15</v>
      </c>
      <c r="B16" s="6">
        <v>6080221</v>
      </c>
      <c r="C16" s="6">
        <v>12919779</v>
      </c>
      <c r="D16">
        <f t="shared" si="0"/>
        <v>5167911.5999999996</v>
      </c>
      <c r="E16">
        <f t="shared" si="1"/>
        <v>8.6131860000000007</v>
      </c>
      <c r="F16">
        <f t="shared" si="2"/>
        <v>12.160442</v>
      </c>
      <c r="G16">
        <f>IFERROR(B16+C16,0)</f>
        <v>19000000</v>
      </c>
      <c r="H16">
        <f>SUM($G$2:G16)</f>
        <v>279135129</v>
      </c>
      <c r="I16">
        <f t="shared" si="3"/>
        <v>227.86541142857141</v>
      </c>
      <c r="J16">
        <f t="shared" si="4"/>
        <v>248.63903942857141</v>
      </c>
      <c r="K16">
        <f t="shared" si="5"/>
        <v>3729.5855914285712</v>
      </c>
    </row>
    <row r="17" spans="1:11">
      <c r="A17">
        <v>16</v>
      </c>
      <c r="B17" s="6">
        <v>6450892</v>
      </c>
      <c r="C17" s="6">
        <v>12549108</v>
      </c>
      <c r="D17">
        <f t="shared" si="0"/>
        <v>5019643.2</v>
      </c>
      <c r="E17">
        <f t="shared" si="1"/>
        <v>8.3660720000000008</v>
      </c>
      <c r="F17">
        <f t="shared" si="2"/>
        <v>12.901783999999999</v>
      </c>
      <c r="G17">
        <f>IFERROR(B17+C17,0)</f>
        <v>19000000</v>
      </c>
      <c r="H17">
        <f>SUM($G$2:G17)</f>
        <v>298135129</v>
      </c>
      <c r="I17">
        <f t="shared" si="3"/>
        <v>243.37561551020406</v>
      </c>
      <c r="J17">
        <f t="shared" si="4"/>
        <v>264.64347151020405</v>
      </c>
      <c r="K17">
        <f t="shared" si="5"/>
        <v>4234.2955441632648</v>
      </c>
    </row>
    <row r="18" spans="1:11">
      <c r="A18">
        <v>17</v>
      </c>
      <c r="B18" s="6">
        <v>6807962</v>
      </c>
      <c r="C18" s="6">
        <v>12192038</v>
      </c>
      <c r="D18">
        <f t="shared" si="0"/>
        <v>4876815.2</v>
      </c>
      <c r="E18">
        <f t="shared" si="1"/>
        <v>8.1280253333333334</v>
      </c>
      <c r="F18">
        <f t="shared" si="2"/>
        <v>13.615924</v>
      </c>
      <c r="G18">
        <f>IFERROR(B18+C18,0)</f>
        <v>19000000</v>
      </c>
      <c r="H18">
        <f>SUM($G$2:G18)</f>
        <v>317135129</v>
      </c>
      <c r="I18">
        <f t="shared" si="3"/>
        <v>258.88581959183671</v>
      </c>
      <c r="J18">
        <f t="shared" si="4"/>
        <v>280.62976892517003</v>
      </c>
      <c r="K18">
        <f t="shared" si="5"/>
        <v>4770.70607172789</v>
      </c>
    </row>
    <row r="19" spans="1:11">
      <c r="A19">
        <v>18</v>
      </c>
      <c r="B19" s="6">
        <v>6700142</v>
      </c>
      <c r="C19" s="6">
        <v>12299858</v>
      </c>
      <c r="D19">
        <f t="shared" si="0"/>
        <v>4919943.2</v>
      </c>
      <c r="E19">
        <f t="shared" si="1"/>
        <v>8.1999053333333336</v>
      </c>
      <c r="F19">
        <f t="shared" si="2"/>
        <v>13.400283999999999</v>
      </c>
      <c r="G19">
        <f>IFERROR(B19+C19,0)</f>
        <v>19000000</v>
      </c>
      <c r="H19">
        <f>SUM($G$2:G19)</f>
        <v>336135129</v>
      </c>
      <c r="I19">
        <f t="shared" si="3"/>
        <v>274.39602367346941</v>
      </c>
      <c r="J19">
        <f t="shared" si="4"/>
        <v>295.99621300680275</v>
      </c>
      <c r="K19">
        <f t="shared" si="5"/>
        <v>5327.9318341224498</v>
      </c>
    </row>
    <row r="20" spans="1:11">
      <c r="A20">
        <v>19</v>
      </c>
      <c r="B20" s="6">
        <v>6453017</v>
      </c>
      <c r="C20" s="6">
        <v>12546983</v>
      </c>
      <c r="D20">
        <f t="shared" si="0"/>
        <v>5018793.2</v>
      </c>
      <c r="E20">
        <f t="shared" si="1"/>
        <v>8.3646553333333333</v>
      </c>
      <c r="F20">
        <f t="shared" si="2"/>
        <v>12.906034</v>
      </c>
      <c r="G20">
        <f>IFERROR(B20+C20,0)</f>
        <v>19000000</v>
      </c>
      <c r="H20">
        <f>SUM($G$2:G20)</f>
        <v>355135129</v>
      </c>
      <c r="I20">
        <f t="shared" si="3"/>
        <v>289.90622775510207</v>
      </c>
      <c r="J20">
        <f t="shared" si="4"/>
        <v>311.1769170884354</v>
      </c>
      <c r="K20">
        <f t="shared" si="5"/>
        <v>5912.3614246802726</v>
      </c>
    </row>
    <row r="21" spans="1:11">
      <c r="A21">
        <v>20</v>
      </c>
      <c r="B21" s="6">
        <v>5796611</v>
      </c>
      <c r="C21" s="6">
        <v>13203389</v>
      </c>
      <c r="D21">
        <f t="shared" si="0"/>
        <v>5281355.5999999996</v>
      </c>
      <c r="E21">
        <f t="shared" si="1"/>
        <v>8.8022593333333319</v>
      </c>
      <c r="F21">
        <f t="shared" si="2"/>
        <v>11.593222000000001</v>
      </c>
      <c r="G21">
        <f>IFERROR(B21+C21,0)</f>
        <v>19000000</v>
      </c>
      <c r="H21">
        <f>SUM($G$2:G21)</f>
        <v>374135129</v>
      </c>
      <c r="I21">
        <f t="shared" si="3"/>
        <v>305.41643183673466</v>
      </c>
      <c r="J21">
        <f t="shared" si="4"/>
        <v>325.81191317006801</v>
      </c>
      <c r="K21">
        <f t="shared" si="5"/>
        <v>6516.2382634013602</v>
      </c>
    </row>
    <row r="22" spans="1:11">
      <c r="A22">
        <v>21</v>
      </c>
      <c r="B22" s="6">
        <v>5615164</v>
      </c>
      <c r="C22" s="6">
        <v>13384836</v>
      </c>
      <c r="D22">
        <f t="shared" si="0"/>
        <v>5353934.4000000004</v>
      </c>
      <c r="E22">
        <f t="shared" si="1"/>
        <v>8.9232240000000012</v>
      </c>
      <c r="F22">
        <f t="shared" si="2"/>
        <v>11.230328</v>
      </c>
      <c r="G22">
        <f>IFERROR(B22+C22,0)</f>
        <v>19000000</v>
      </c>
      <c r="H22">
        <f>SUM($G$2:G22)</f>
        <v>393135129</v>
      </c>
      <c r="I22">
        <f t="shared" si="3"/>
        <v>320.92663591836731</v>
      </c>
      <c r="J22">
        <f t="shared" si="4"/>
        <v>341.0801879183673</v>
      </c>
      <c r="K22">
        <f t="shared" si="5"/>
        <v>7162.6839462857133</v>
      </c>
    </row>
    <row r="23" spans="1:11">
      <c r="A23">
        <v>22</v>
      </c>
      <c r="B23" s="6">
        <v>5456563</v>
      </c>
      <c r="C23" s="6">
        <v>13543437</v>
      </c>
      <c r="D23">
        <f t="shared" si="0"/>
        <v>5417374.7999999998</v>
      </c>
      <c r="E23">
        <f t="shared" si="1"/>
        <v>9.0289579999999994</v>
      </c>
      <c r="F23">
        <f t="shared" si="2"/>
        <v>10.913126</v>
      </c>
      <c r="G23">
        <f>IFERROR(B23+C23,0)</f>
        <v>19000000</v>
      </c>
      <c r="H23">
        <f>SUM($G$2:G23)</f>
        <v>412135129</v>
      </c>
      <c r="I23">
        <f t="shared" si="3"/>
        <v>336.43684000000002</v>
      </c>
      <c r="J23">
        <f t="shared" si="4"/>
        <v>356.37892399999998</v>
      </c>
      <c r="K23">
        <f t="shared" si="5"/>
        <v>7840.3363279999994</v>
      </c>
    </row>
    <row r="24" spans="1:11">
      <c r="A24">
        <v>23</v>
      </c>
      <c r="B24" s="6">
        <v>5550638</v>
      </c>
      <c r="C24" s="6">
        <v>13449362</v>
      </c>
      <c r="D24">
        <f t="shared" si="0"/>
        <v>5379744.7999999998</v>
      </c>
      <c r="E24">
        <f t="shared" si="1"/>
        <v>8.9662413333333326</v>
      </c>
      <c r="F24">
        <f t="shared" si="2"/>
        <v>11.101276</v>
      </c>
      <c r="G24">
        <f>IFERROR(B24+C24,0)</f>
        <v>19000000</v>
      </c>
      <c r="H24">
        <f>SUM($G$2:G24)</f>
        <v>431135129</v>
      </c>
      <c r="I24">
        <f t="shared" si="3"/>
        <v>351.94704408163267</v>
      </c>
      <c r="J24">
        <f t="shared" si="4"/>
        <v>372.01456141496601</v>
      </c>
      <c r="K24">
        <f t="shared" si="5"/>
        <v>8556.3349125442182</v>
      </c>
    </row>
    <row r="25" spans="1:11">
      <c r="A25">
        <v>24</v>
      </c>
      <c r="B25" s="6">
        <v>5479485</v>
      </c>
      <c r="C25" s="6">
        <v>13520515</v>
      </c>
      <c r="D25">
        <f t="shared" si="0"/>
        <v>5408206</v>
      </c>
      <c r="E25">
        <f t="shared" si="1"/>
        <v>9.013676666666667</v>
      </c>
      <c r="F25">
        <f t="shared" si="2"/>
        <v>10.958970000000001</v>
      </c>
      <c r="G25">
        <f>IFERROR(B25+C25,0)</f>
        <v>19000000</v>
      </c>
      <c r="H25">
        <f>SUM($G$2:G25)</f>
        <v>450135129</v>
      </c>
      <c r="I25">
        <f t="shared" si="3"/>
        <v>367.45724816326532</v>
      </c>
      <c r="J25">
        <f t="shared" si="4"/>
        <v>387.42989482993198</v>
      </c>
      <c r="K25">
        <f t="shared" si="5"/>
        <v>9298.3174759183676</v>
      </c>
    </row>
    <row r="26" spans="1:11">
      <c r="A26">
        <v>25</v>
      </c>
      <c r="B26" s="6">
        <v>5287499</v>
      </c>
      <c r="C26" s="6">
        <v>13712501</v>
      </c>
      <c r="D26">
        <f t="shared" si="0"/>
        <v>5485000.4000000004</v>
      </c>
      <c r="E26">
        <f t="shared" si="1"/>
        <v>9.1416673333333343</v>
      </c>
      <c r="F26">
        <f t="shared" si="2"/>
        <v>10.574998000000001</v>
      </c>
      <c r="G26">
        <f>IFERROR(B26+C26,0)</f>
        <v>19000000</v>
      </c>
      <c r="H26">
        <f>SUM($G$2:G26)</f>
        <v>469135129</v>
      </c>
      <c r="I26">
        <f t="shared" si="3"/>
        <v>382.96745224489791</v>
      </c>
      <c r="J26">
        <f t="shared" si="4"/>
        <v>402.68411757823122</v>
      </c>
      <c r="K26">
        <f t="shared" si="5"/>
        <v>10067.102939455781</v>
      </c>
    </row>
    <row r="27" spans="1:11">
      <c r="A27">
        <v>26</v>
      </c>
      <c r="B27" s="6">
        <v>7060652</v>
      </c>
      <c r="C27" s="6">
        <v>11939348</v>
      </c>
      <c r="D27">
        <f t="shared" si="0"/>
        <v>4775739.2</v>
      </c>
      <c r="E27">
        <f t="shared" si="1"/>
        <v>7.9595653333333338</v>
      </c>
      <c r="F27">
        <f t="shared" si="2"/>
        <v>14.121304</v>
      </c>
      <c r="G27">
        <f t="shared" ref="G27:G29" si="6">IFERROR(B27+C27,0)</f>
        <v>19000000</v>
      </c>
      <c r="H27">
        <f>SUM($G$2:G27)</f>
        <v>488135129</v>
      </c>
      <c r="I27">
        <f t="shared" si="3"/>
        <v>398.47765632653062</v>
      </c>
      <c r="J27">
        <f t="shared" si="4"/>
        <v>420.55852565986396</v>
      </c>
      <c r="K27">
        <f t="shared" si="5"/>
        <v>10934.521667156463</v>
      </c>
    </row>
    <row r="28" spans="1:11">
      <c r="A28">
        <v>27</v>
      </c>
      <c r="B28" s="6">
        <v>3932802</v>
      </c>
      <c r="C28" s="6">
        <v>5813670</v>
      </c>
      <c r="D28">
        <f t="shared" si="0"/>
        <v>2325468</v>
      </c>
      <c r="E28">
        <f t="shared" si="1"/>
        <v>3.8757800000000002</v>
      </c>
      <c r="F28">
        <f t="shared" si="2"/>
        <v>7.8656040000000003</v>
      </c>
      <c r="G28">
        <f t="shared" si="6"/>
        <v>9746472</v>
      </c>
      <c r="H28">
        <f>SUM($G$2:G28)</f>
        <v>497881601</v>
      </c>
      <c r="I28">
        <f t="shared" si="3"/>
        <v>406.43396000000001</v>
      </c>
      <c r="J28">
        <f t="shared" si="4"/>
        <v>418.17534400000005</v>
      </c>
      <c r="K28">
        <f t="shared" si="5"/>
        <v>11290.734288000001</v>
      </c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273262081</v>
      </c>
    </row>
    <row r="37" spans="1:10">
      <c r="H37" s="14" t="s">
        <v>37</v>
      </c>
      <c r="I37" t="s">
        <v>2</v>
      </c>
      <c r="J37" s="15">
        <f>MAX(K2:K33)</f>
        <v>11290.734288000001</v>
      </c>
    </row>
    <row r="38" spans="1:10">
      <c r="I38" t="s">
        <v>3</v>
      </c>
      <c r="J38" s="15">
        <f>MAX(J2:J33)</f>
        <v>420.55852565986396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>
        <v>1</v>
      </c>
      <c r="B60" s="6">
        <v>11400000</v>
      </c>
      <c r="C60" s="6">
        <v>6724635</v>
      </c>
      <c r="D60" s="6">
        <v>0.59</v>
      </c>
      <c r="E60" s="6">
        <v>2.2475999999999998</v>
      </c>
      <c r="F60" s="6">
        <v>906891620</v>
      </c>
      <c r="G60" s="6">
        <v>824446927</v>
      </c>
    </row>
    <row r="61" spans="1:9">
      <c r="A61" s="6">
        <v>2</v>
      </c>
      <c r="B61" s="6">
        <v>11400000</v>
      </c>
      <c r="C61" s="6">
        <v>6884902</v>
      </c>
      <c r="D61" s="6">
        <v>0.6</v>
      </c>
      <c r="E61" s="6">
        <v>1.7846</v>
      </c>
      <c r="F61" s="6">
        <v>662132136</v>
      </c>
      <c r="G61" s="6">
        <v>547216641</v>
      </c>
    </row>
    <row r="62" spans="1:9">
      <c r="A62" s="6">
        <v>3</v>
      </c>
      <c r="B62" s="6">
        <v>11348756</v>
      </c>
      <c r="C62" s="6">
        <v>7651244</v>
      </c>
      <c r="D62" s="6">
        <v>0.67</v>
      </c>
      <c r="E62" s="6">
        <v>2.2746</v>
      </c>
      <c r="F62" s="6">
        <v>913885631</v>
      </c>
      <c r="G62" s="6">
        <v>686615801</v>
      </c>
    </row>
    <row r="63" spans="1:9">
      <c r="A63" s="6">
        <v>4</v>
      </c>
      <c r="B63" s="6">
        <v>10813836</v>
      </c>
      <c r="C63" s="6">
        <v>8186164</v>
      </c>
      <c r="D63" s="6">
        <v>0.76</v>
      </c>
      <c r="E63" s="6">
        <v>2.5314000000000001</v>
      </c>
      <c r="F63" s="6">
        <v>996357577</v>
      </c>
      <c r="G63" s="6">
        <v>680525632</v>
      </c>
    </row>
    <row r="64" spans="1:9">
      <c r="A64" s="6">
        <v>5</v>
      </c>
      <c r="B64" s="6">
        <v>10251892</v>
      </c>
      <c r="C64" s="6">
        <v>8748108</v>
      </c>
      <c r="D64" s="6">
        <v>0.85</v>
      </c>
      <c r="E64" s="6">
        <v>2.4693000000000001</v>
      </c>
      <c r="F64" s="6">
        <v>911904422</v>
      </c>
      <c r="G64" s="6">
        <v>566220900</v>
      </c>
    </row>
    <row r="65" spans="1:7">
      <c r="A65" s="6">
        <v>6</v>
      </c>
      <c r="B65" s="6">
        <v>11400000</v>
      </c>
      <c r="C65" s="6">
        <v>6903982</v>
      </c>
      <c r="D65" s="6">
        <v>0.61</v>
      </c>
      <c r="E65" s="6">
        <v>2.4575999999999998</v>
      </c>
      <c r="F65" s="6">
        <v>1017101329</v>
      </c>
      <c r="G65" s="6">
        <v>574127185</v>
      </c>
    </row>
    <row r="66" spans="1:7">
      <c r="A66" s="6">
        <v>7</v>
      </c>
      <c r="B66" s="6">
        <v>11400000</v>
      </c>
      <c r="C66" s="6">
        <v>5879981</v>
      </c>
      <c r="D66" s="6">
        <v>0.52</v>
      </c>
      <c r="E66" s="6">
        <v>2.3635000000000002</v>
      </c>
      <c r="F66" s="6">
        <v>970841575</v>
      </c>
      <c r="G66" s="6">
        <v>498195236</v>
      </c>
    </row>
    <row r="67" spans="1:7">
      <c r="A67" s="6">
        <v>8</v>
      </c>
      <c r="B67" s="6">
        <v>11400000</v>
      </c>
      <c r="C67" s="6">
        <v>6032777</v>
      </c>
      <c r="D67" s="6">
        <v>0.53</v>
      </c>
      <c r="E67" s="6">
        <v>2.3719000000000001</v>
      </c>
      <c r="F67" s="6">
        <v>974761346</v>
      </c>
      <c r="G67" s="6">
        <v>454733362</v>
      </c>
    </row>
    <row r="68" spans="1:7">
      <c r="A68" s="6">
        <v>9</v>
      </c>
      <c r="B68" s="6">
        <v>11400000</v>
      </c>
      <c r="C68" s="6">
        <v>7317442</v>
      </c>
      <c r="D68" s="6">
        <v>0.64</v>
      </c>
      <c r="E68" s="6">
        <v>2.4497</v>
      </c>
      <c r="F68" s="6">
        <v>1011581744</v>
      </c>
      <c r="G68" s="6">
        <v>429009408</v>
      </c>
    </row>
    <row r="69" spans="1:7">
      <c r="A69" s="6">
        <v>10</v>
      </c>
      <c r="B69" s="6">
        <v>11400000</v>
      </c>
      <c r="C69" s="6">
        <v>7591410</v>
      </c>
      <c r="D69" s="6">
        <v>0.67</v>
      </c>
      <c r="E69" s="6">
        <v>2.4754</v>
      </c>
      <c r="F69" s="6">
        <v>1024242833</v>
      </c>
      <c r="G69" s="6">
        <v>394889951</v>
      </c>
    </row>
    <row r="70" spans="1:7">
      <c r="A70" s="6">
        <v>11</v>
      </c>
      <c r="B70" s="6">
        <v>11389472</v>
      </c>
      <c r="C70" s="6">
        <v>7610528</v>
      </c>
      <c r="D70" s="6">
        <v>0.67</v>
      </c>
      <c r="E70" s="6">
        <v>2.8323999999999998</v>
      </c>
      <c r="F70" s="6">
        <v>1211373806</v>
      </c>
      <c r="G70" s="6">
        <v>424579129</v>
      </c>
    </row>
    <row r="71" spans="1:7">
      <c r="A71" s="6">
        <v>12</v>
      </c>
      <c r="B71" s="6">
        <v>9749950</v>
      </c>
      <c r="C71" s="6">
        <v>9250050</v>
      </c>
      <c r="D71" s="6">
        <v>0.95</v>
      </c>
      <c r="E71" s="6">
        <v>0.99260000000000004</v>
      </c>
      <c r="F71" s="6">
        <v>197858640</v>
      </c>
      <c r="G71" s="6">
        <v>63043860</v>
      </c>
    </row>
    <row r="72" spans="1:7">
      <c r="A72" s="6">
        <v>13</v>
      </c>
      <c r="B72" s="6">
        <v>8122458</v>
      </c>
      <c r="C72" s="6">
        <v>10877542</v>
      </c>
      <c r="D72" s="6">
        <v>1.34</v>
      </c>
      <c r="E72" s="6">
        <v>1.1800999999999999</v>
      </c>
      <c r="F72" s="6">
        <v>224929549</v>
      </c>
      <c r="G72" s="6">
        <v>65154078</v>
      </c>
    </row>
    <row r="73" spans="1:7">
      <c r="A73" s="6">
        <v>14</v>
      </c>
      <c r="B73" s="6">
        <v>6471508</v>
      </c>
      <c r="C73" s="6">
        <v>12528492</v>
      </c>
      <c r="D73" s="6">
        <v>1.94</v>
      </c>
      <c r="E73" s="6">
        <v>1.1305000000000001</v>
      </c>
      <c r="F73" s="6">
        <v>151682454</v>
      </c>
      <c r="G73" s="6">
        <v>39942731</v>
      </c>
    </row>
    <row r="74" spans="1:7">
      <c r="A74" s="6">
        <v>15</v>
      </c>
      <c r="B74" s="6">
        <v>6080221</v>
      </c>
      <c r="C74" s="6">
        <v>12919779</v>
      </c>
      <c r="D74" s="6">
        <v>2.12</v>
      </c>
      <c r="E74" s="6">
        <v>1.0803</v>
      </c>
      <c r="F74" s="6">
        <v>124615800</v>
      </c>
      <c r="G74" s="6">
        <v>29832032</v>
      </c>
    </row>
    <row r="75" spans="1:7">
      <c r="A75" s="6">
        <v>16</v>
      </c>
      <c r="B75" s="6">
        <v>6450892</v>
      </c>
      <c r="C75" s="6">
        <v>12549108</v>
      </c>
      <c r="D75" s="6">
        <v>1.95</v>
      </c>
      <c r="E75" s="6">
        <v>1.1585000000000001</v>
      </c>
      <c r="F75" s="6">
        <v>159365444</v>
      </c>
      <c r="G75" s="6">
        <v>34682564</v>
      </c>
    </row>
    <row r="76" spans="1:7">
      <c r="A76" s="6">
        <v>17</v>
      </c>
      <c r="B76" s="6">
        <v>6807962</v>
      </c>
      <c r="C76" s="6">
        <v>12192038</v>
      </c>
      <c r="D76" s="6">
        <v>1.79</v>
      </c>
      <c r="E76" s="6">
        <v>1.2020999999999999</v>
      </c>
      <c r="F76" s="6">
        <v>185370774</v>
      </c>
      <c r="G76" s="6">
        <v>36674619</v>
      </c>
    </row>
    <row r="77" spans="1:7">
      <c r="A77" s="6">
        <v>18</v>
      </c>
      <c r="B77" s="6">
        <v>6700142</v>
      </c>
      <c r="C77" s="6">
        <v>12299858</v>
      </c>
      <c r="D77" s="6">
        <v>1.84</v>
      </c>
      <c r="E77" s="6">
        <v>1.2121</v>
      </c>
      <c r="F77" s="6">
        <v>184542580</v>
      </c>
      <c r="G77" s="6">
        <v>33191605</v>
      </c>
    </row>
    <row r="78" spans="1:7">
      <c r="A78" s="6">
        <v>19</v>
      </c>
      <c r="B78" s="6">
        <v>6453017</v>
      </c>
      <c r="C78" s="6">
        <v>12546983</v>
      </c>
      <c r="D78" s="6">
        <v>1.94</v>
      </c>
      <c r="E78" s="6">
        <v>1.2444</v>
      </c>
      <c r="F78" s="6">
        <v>185080246</v>
      </c>
      <c r="G78" s="6">
        <v>30262099</v>
      </c>
    </row>
    <row r="79" spans="1:7">
      <c r="A79" s="6">
        <v>20</v>
      </c>
      <c r="B79" s="6">
        <v>5796611</v>
      </c>
      <c r="C79" s="6">
        <v>13203389</v>
      </c>
      <c r="D79" s="6">
        <v>2.2799999999999998</v>
      </c>
      <c r="E79" s="6">
        <v>1.2404999999999999</v>
      </c>
      <c r="F79" s="6">
        <v>158880856</v>
      </c>
      <c r="G79" s="6">
        <v>23616627</v>
      </c>
    </row>
    <row r="80" spans="1:7">
      <c r="A80" s="6">
        <v>21</v>
      </c>
      <c r="B80" s="6">
        <v>5615164</v>
      </c>
      <c r="C80" s="6">
        <v>13384836</v>
      </c>
      <c r="D80" s="6">
        <v>2.38</v>
      </c>
      <c r="E80" s="6">
        <v>1.3038000000000001</v>
      </c>
      <c r="F80" s="6">
        <v>168405871</v>
      </c>
      <c r="G80" s="6">
        <v>22756781</v>
      </c>
    </row>
    <row r="81" spans="1:7">
      <c r="A81" s="6">
        <v>22</v>
      </c>
      <c r="B81" s="6">
        <v>5456563</v>
      </c>
      <c r="C81" s="6">
        <v>13543437</v>
      </c>
      <c r="D81" s="6">
        <v>2.48</v>
      </c>
      <c r="E81" s="6">
        <v>1.3880999999999999</v>
      </c>
      <c r="F81" s="6">
        <v>183174196</v>
      </c>
      <c r="G81" s="6">
        <v>22502212</v>
      </c>
    </row>
    <row r="82" spans="1:7">
      <c r="A82" s="6">
        <v>23</v>
      </c>
      <c r="B82" s="6">
        <v>5550638</v>
      </c>
      <c r="C82" s="6">
        <v>13449362</v>
      </c>
      <c r="D82" s="6">
        <v>2.42</v>
      </c>
      <c r="E82" s="6">
        <v>1.4573</v>
      </c>
      <c r="F82" s="6">
        <v>205194556</v>
      </c>
      <c r="G82" s="6">
        <v>22915750</v>
      </c>
    </row>
    <row r="83" spans="1:7">
      <c r="A83" s="6">
        <v>24</v>
      </c>
      <c r="B83" s="6">
        <v>5479485</v>
      </c>
      <c r="C83" s="6">
        <v>13520515</v>
      </c>
      <c r="D83" s="6">
        <v>2.4700000000000002</v>
      </c>
      <c r="E83" s="6">
        <v>1.6019000000000001</v>
      </c>
      <c r="F83" s="6">
        <v>238430303</v>
      </c>
      <c r="G83" s="6">
        <v>24206779</v>
      </c>
    </row>
    <row r="84" spans="1:7">
      <c r="A84" s="6">
        <v>25</v>
      </c>
      <c r="B84" s="6">
        <v>5287499</v>
      </c>
      <c r="C84" s="6">
        <v>13712501</v>
      </c>
      <c r="D84" s="6">
        <v>2.59</v>
      </c>
      <c r="E84" s="6">
        <v>1.8765000000000001</v>
      </c>
      <c r="F84" s="6">
        <v>295071196</v>
      </c>
      <c r="G84" s="6">
        <v>27233891</v>
      </c>
    </row>
    <row r="85" spans="1:7">
      <c r="A85" s="6">
        <v>26</v>
      </c>
      <c r="B85" s="6">
        <v>7060652</v>
      </c>
      <c r="C85" s="6">
        <v>11939348</v>
      </c>
      <c r="D85" s="6">
        <v>1.69</v>
      </c>
      <c r="E85" s="6">
        <v>1.7782</v>
      </c>
      <c r="F85" s="6">
        <v>382817714</v>
      </c>
      <c r="G85" s="6">
        <v>32120494</v>
      </c>
    </row>
    <row r="86" spans="1:7">
      <c r="A86" s="6">
        <v>27</v>
      </c>
      <c r="B86" s="6">
        <v>3932802</v>
      </c>
      <c r="C86" s="6">
        <v>5813670</v>
      </c>
      <c r="D86" s="6">
        <v>1.48</v>
      </c>
      <c r="E86" s="6">
        <v>2.3874</v>
      </c>
      <c r="F86" s="6">
        <v>326852379</v>
      </c>
      <c r="G86" s="6">
        <v>26116113</v>
      </c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0"/>
  <sheetViews>
    <sheetView workbookViewId="0">
      <selection activeCell="I12" sqref="I12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12900000</v>
      </c>
      <c r="C2" s="6">
        <v>7606905</v>
      </c>
      <c r="D2">
        <f>C2/2.5</f>
        <v>3042762</v>
      </c>
      <c r="E2">
        <f>(D2/60)/10000</f>
        <v>5.0712699999999993</v>
      </c>
      <c r="F2">
        <f>(B2*2)/1000000</f>
        <v>25.8</v>
      </c>
      <c r="G2">
        <f>IFERROR(B2+C2,0)</f>
        <v>20506905</v>
      </c>
      <c r="H2">
        <f>SUM($G$2:G2)</f>
        <v>20506905</v>
      </c>
      <c r="I2">
        <f>((H2/2.5)/48)/10000</f>
        <v>17.089087500000002</v>
      </c>
      <c r="J2">
        <f>I2+F2+E2</f>
        <v>47.960357500000001</v>
      </c>
      <c r="K2">
        <f>A2*J2</f>
        <v>47.960357500000001</v>
      </c>
    </row>
    <row r="3" spans="1:11">
      <c r="A3">
        <v>2</v>
      </c>
      <c r="B3" s="6">
        <v>12900000</v>
      </c>
      <c r="C3" s="6">
        <v>7855411</v>
      </c>
      <c r="D3">
        <f t="shared" ref="D3:D29" si="0">C3/2.5</f>
        <v>3142164.4</v>
      </c>
      <c r="E3">
        <f t="shared" ref="E3:E29" si="1">(D3/60)/10000</f>
        <v>5.2369406666666665</v>
      </c>
      <c r="F3">
        <f t="shared" ref="F3:F34" si="2">(B3*2)/1000000</f>
        <v>25.8</v>
      </c>
      <c r="G3">
        <f>IFERROR(B3+C3,0)</f>
        <v>20755411</v>
      </c>
      <c r="H3">
        <f>SUM($G$2:G3)</f>
        <v>41262316</v>
      </c>
      <c r="I3">
        <f t="shared" ref="I3:I29" si="3">((H3/2.5)/48)/10000</f>
        <v>34.385263333333334</v>
      </c>
      <c r="J3">
        <f t="shared" ref="J3:J29" si="4">I3+F3+E3</f>
        <v>65.422204000000008</v>
      </c>
      <c r="K3">
        <f t="shared" ref="K3:K29" si="5">A3*J3</f>
        <v>130.84440800000002</v>
      </c>
    </row>
    <row r="4" spans="1:11">
      <c r="A4">
        <v>3</v>
      </c>
      <c r="B4" s="6">
        <v>12410649</v>
      </c>
      <c r="C4" s="6">
        <v>8589351</v>
      </c>
      <c r="D4">
        <f t="shared" si="0"/>
        <v>3435740.4</v>
      </c>
      <c r="E4">
        <f t="shared" si="1"/>
        <v>5.7262339999999998</v>
      </c>
      <c r="F4">
        <f t="shared" si="2"/>
        <v>24.821297999999999</v>
      </c>
      <c r="G4">
        <f>IFERROR(B4+C4,0)</f>
        <v>21000000</v>
      </c>
      <c r="H4">
        <f>SUM($G$2:G4)</f>
        <v>62262316</v>
      </c>
      <c r="I4">
        <f t="shared" si="3"/>
        <v>51.885263333333327</v>
      </c>
      <c r="J4">
        <f t="shared" si="4"/>
        <v>82.432795333333331</v>
      </c>
      <c r="K4">
        <f t="shared" si="5"/>
        <v>247.29838599999999</v>
      </c>
    </row>
    <row r="5" spans="1:11">
      <c r="A5">
        <v>4</v>
      </c>
      <c r="B5" s="6">
        <v>11440023</v>
      </c>
      <c r="C5" s="6">
        <v>9559977</v>
      </c>
      <c r="D5">
        <f t="shared" si="0"/>
        <v>3823990.8</v>
      </c>
      <c r="E5">
        <f t="shared" si="1"/>
        <v>6.3733180000000003</v>
      </c>
      <c r="F5">
        <f t="shared" si="2"/>
        <v>22.880046</v>
      </c>
      <c r="G5">
        <f>IFERROR(B5+C5,0)</f>
        <v>21000000</v>
      </c>
      <c r="H5">
        <f>SUM($G$2:G5)</f>
        <v>83262316</v>
      </c>
      <c r="I5">
        <f t="shared" si="3"/>
        <v>69.385263333333327</v>
      </c>
      <c r="J5">
        <f t="shared" si="4"/>
        <v>98.638627333333332</v>
      </c>
      <c r="K5">
        <f t="shared" si="5"/>
        <v>394.55450933333333</v>
      </c>
    </row>
    <row r="6" spans="1:11">
      <c r="A6">
        <v>5</v>
      </c>
      <c r="B6" s="6">
        <v>12110546</v>
      </c>
      <c r="C6" s="6">
        <v>8889454</v>
      </c>
      <c r="D6">
        <f t="shared" si="0"/>
        <v>3555781.6</v>
      </c>
      <c r="E6">
        <f t="shared" si="1"/>
        <v>5.9263026666666665</v>
      </c>
      <c r="F6">
        <f t="shared" si="2"/>
        <v>24.221091999999999</v>
      </c>
      <c r="G6">
        <f>IFERROR(B6+C6,0)</f>
        <v>21000000</v>
      </c>
      <c r="H6">
        <f>SUM($G$2:G6)</f>
        <v>104262316</v>
      </c>
      <c r="I6">
        <f t="shared" si="3"/>
        <v>86.885263333333327</v>
      </c>
      <c r="J6">
        <f t="shared" si="4"/>
        <v>117.032658</v>
      </c>
      <c r="K6">
        <f t="shared" si="5"/>
        <v>585.16328999999996</v>
      </c>
    </row>
    <row r="7" spans="1:11">
      <c r="A7">
        <v>6</v>
      </c>
      <c r="B7" s="6">
        <v>12899985</v>
      </c>
      <c r="C7" s="6">
        <v>8100015</v>
      </c>
      <c r="D7">
        <f t="shared" si="0"/>
        <v>3240006</v>
      </c>
      <c r="E7">
        <f t="shared" si="1"/>
        <v>5.40001</v>
      </c>
      <c r="F7">
        <f t="shared" si="2"/>
        <v>25.799969999999998</v>
      </c>
      <c r="G7">
        <f>IFERROR(B7+C7,0)</f>
        <v>21000000</v>
      </c>
      <c r="H7">
        <f>SUM($G$2:G7)</f>
        <v>125262316</v>
      </c>
      <c r="I7">
        <f t="shared" si="3"/>
        <v>104.38526333333333</v>
      </c>
      <c r="J7">
        <f t="shared" si="4"/>
        <v>135.58524333333332</v>
      </c>
      <c r="K7">
        <f t="shared" si="5"/>
        <v>813.51145999999994</v>
      </c>
    </row>
    <row r="8" spans="1:11">
      <c r="A8">
        <v>7</v>
      </c>
      <c r="B8" s="6">
        <v>12900000</v>
      </c>
      <c r="C8" s="6">
        <v>6431744</v>
      </c>
      <c r="D8">
        <f t="shared" si="0"/>
        <v>2572697.6000000001</v>
      </c>
      <c r="E8">
        <f t="shared" si="1"/>
        <v>4.2878293333333337</v>
      </c>
      <c r="F8">
        <f t="shared" si="2"/>
        <v>25.8</v>
      </c>
      <c r="G8">
        <f>IFERROR(B8+C8,0)</f>
        <v>19331744</v>
      </c>
      <c r="H8">
        <f>SUM($G$2:G8)</f>
        <v>144594060</v>
      </c>
      <c r="I8">
        <f t="shared" si="3"/>
        <v>120.49505000000001</v>
      </c>
      <c r="J8">
        <f t="shared" si="4"/>
        <v>150.58287933333332</v>
      </c>
      <c r="K8">
        <f t="shared" si="5"/>
        <v>1054.0801553333333</v>
      </c>
    </row>
    <row r="9" spans="1:11">
      <c r="A9">
        <v>8</v>
      </c>
      <c r="B9" s="6">
        <v>12900000</v>
      </c>
      <c r="C9" s="6">
        <v>6233475</v>
      </c>
      <c r="D9">
        <f t="shared" si="0"/>
        <v>2493390</v>
      </c>
      <c r="E9">
        <f t="shared" si="1"/>
        <v>4.1556499999999996</v>
      </c>
      <c r="F9">
        <f t="shared" si="2"/>
        <v>25.8</v>
      </c>
      <c r="G9">
        <f>IFERROR(B9+C9,0)</f>
        <v>19133475</v>
      </c>
      <c r="H9">
        <f>SUM($G$2:G9)</f>
        <v>163727535</v>
      </c>
      <c r="I9">
        <f t="shared" si="3"/>
        <v>136.43961250000001</v>
      </c>
      <c r="J9">
        <f t="shared" si="4"/>
        <v>166.39526250000003</v>
      </c>
      <c r="K9">
        <f t="shared" si="5"/>
        <v>1331.1621000000002</v>
      </c>
    </row>
    <row r="10" spans="1:11">
      <c r="A10">
        <v>9</v>
      </c>
      <c r="B10" s="6">
        <v>12900000</v>
      </c>
      <c r="C10" s="6">
        <v>8068438</v>
      </c>
      <c r="D10">
        <f t="shared" si="0"/>
        <v>3227375.2</v>
      </c>
      <c r="E10">
        <f t="shared" si="1"/>
        <v>5.3789586666666667</v>
      </c>
      <c r="F10">
        <f t="shared" si="2"/>
        <v>25.8</v>
      </c>
      <c r="G10">
        <f>IFERROR(B10+C10,0)</f>
        <v>20968438</v>
      </c>
      <c r="H10">
        <f>SUM($G$2:G10)</f>
        <v>184695973</v>
      </c>
      <c r="I10">
        <f t="shared" si="3"/>
        <v>153.91331083333333</v>
      </c>
      <c r="J10">
        <f t="shared" si="4"/>
        <v>185.09226950000001</v>
      </c>
      <c r="K10">
        <f t="shared" si="5"/>
        <v>1665.8304255</v>
      </c>
    </row>
    <row r="11" spans="1:11">
      <c r="A11">
        <v>10</v>
      </c>
      <c r="B11" s="6">
        <v>12495014</v>
      </c>
      <c r="C11" s="6">
        <v>8504986</v>
      </c>
      <c r="D11">
        <f t="shared" si="0"/>
        <v>3401994.4</v>
      </c>
      <c r="E11">
        <f t="shared" si="1"/>
        <v>5.6699906666666662</v>
      </c>
      <c r="F11">
        <f t="shared" si="2"/>
        <v>24.990027999999999</v>
      </c>
      <c r="G11">
        <f>IFERROR(B11+C11,0)</f>
        <v>21000000</v>
      </c>
      <c r="H11">
        <f>SUM($G$2:G11)</f>
        <v>205695973</v>
      </c>
      <c r="I11">
        <f t="shared" si="3"/>
        <v>171.41331083333333</v>
      </c>
      <c r="J11">
        <f t="shared" si="4"/>
        <v>202.0733295</v>
      </c>
      <c r="K11">
        <f t="shared" si="5"/>
        <v>2020.733295</v>
      </c>
    </row>
    <row r="12" spans="1:11">
      <c r="A12">
        <v>11</v>
      </c>
      <c r="B12" s="6">
        <v>10522557</v>
      </c>
      <c r="C12" s="6">
        <v>10477443</v>
      </c>
      <c r="D12">
        <f t="shared" si="0"/>
        <v>4190977.2</v>
      </c>
      <c r="E12">
        <f t="shared" si="1"/>
        <v>6.9849620000000012</v>
      </c>
      <c r="F12">
        <f t="shared" si="2"/>
        <v>21.045114000000002</v>
      </c>
      <c r="G12">
        <f>IFERROR(B12+C12,0)</f>
        <v>21000000</v>
      </c>
      <c r="H12">
        <f>SUM($G$2:G12)</f>
        <v>226695973</v>
      </c>
      <c r="I12">
        <f t="shared" si="3"/>
        <v>188.91331083333333</v>
      </c>
      <c r="J12">
        <f t="shared" si="4"/>
        <v>216.94338683333334</v>
      </c>
      <c r="K12">
        <f t="shared" si="5"/>
        <v>2386.3772551666666</v>
      </c>
    </row>
    <row r="13" spans="1:11">
      <c r="A13">
        <v>12</v>
      </c>
      <c r="B13" s="6">
        <v>8518123</v>
      </c>
      <c r="C13" s="6">
        <v>12481877</v>
      </c>
      <c r="D13">
        <f t="shared" si="0"/>
        <v>4992750.8</v>
      </c>
      <c r="E13">
        <f t="shared" si="1"/>
        <v>8.3212513333333344</v>
      </c>
      <c r="F13">
        <f t="shared" si="2"/>
        <v>17.036245999999998</v>
      </c>
      <c r="G13">
        <f>IFERROR(B13+C13,0)</f>
        <v>21000000</v>
      </c>
      <c r="H13">
        <f>SUM($G$2:G13)</f>
        <v>247695973</v>
      </c>
      <c r="I13">
        <f t="shared" si="3"/>
        <v>206.41331083333333</v>
      </c>
      <c r="J13">
        <f t="shared" si="4"/>
        <v>231.77080816666665</v>
      </c>
      <c r="K13">
        <f t="shared" si="5"/>
        <v>2781.2496979999996</v>
      </c>
    </row>
    <row r="14" spans="1:11">
      <c r="A14">
        <v>13</v>
      </c>
      <c r="B14" s="6">
        <v>7698761</v>
      </c>
      <c r="C14" s="6">
        <v>13301239</v>
      </c>
      <c r="D14">
        <f t="shared" si="0"/>
        <v>5320495.5999999996</v>
      </c>
      <c r="E14">
        <f t="shared" si="1"/>
        <v>8.8674926666666671</v>
      </c>
      <c r="F14">
        <f t="shared" si="2"/>
        <v>15.397522</v>
      </c>
      <c r="G14">
        <f>IFERROR(B14+C14,0)</f>
        <v>21000000</v>
      </c>
      <c r="H14">
        <f>SUM($G$2:G14)</f>
        <v>268695973</v>
      </c>
      <c r="I14">
        <f t="shared" si="3"/>
        <v>223.91331083333333</v>
      </c>
      <c r="J14">
        <f t="shared" si="4"/>
        <v>248.1783255</v>
      </c>
      <c r="K14">
        <f t="shared" si="5"/>
        <v>3226.3182314999999</v>
      </c>
    </row>
    <row r="15" spans="1:11">
      <c r="A15">
        <v>14</v>
      </c>
      <c r="B15" s="6">
        <v>8377153</v>
      </c>
      <c r="C15" s="6">
        <v>12622847</v>
      </c>
      <c r="D15">
        <f t="shared" si="0"/>
        <v>5049138.8</v>
      </c>
      <c r="E15">
        <f t="shared" si="1"/>
        <v>8.4152313333333328</v>
      </c>
      <c r="F15">
        <f t="shared" si="2"/>
        <v>16.754306</v>
      </c>
      <c r="G15">
        <f>IFERROR(B15+C15,0)</f>
        <v>21000000</v>
      </c>
      <c r="H15">
        <f>SUM($G$2:G15)</f>
        <v>289695973</v>
      </c>
      <c r="I15">
        <f t="shared" si="3"/>
        <v>241.41331083333333</v>
      </c>
      <c r="J15">
        <f t="shared" si="4"/>
        <v>266.58284816666668</v>
      </c>
      <c r="K15">
        <f t="shared" si="5"/>
        <v>3732.1598743333334</v>
      </c>
    </row>
    <row r="16" spans="1:11">
      <c r="A16">
        <v>15</v>
      </c>
      <c r="B16" s="6">
        <v>8305273</v>
      </c>
      <c r="C16" s="6">
        <v>12694727</v>
      </c>
      <c r="D16">
        <f t="shared" si="0"/>
        <v>5077890.8</v>
      </c>
      <c r="E16">
        <f t="shared" si="1"/>
        <v>8.4631513333333341</v>
      </c>
      <c r="F16">
        <f t="shared" si="2"/>
        <v>16.610545999999999</v>
      </c>
      <c r="G16">
        <f>IFERROR(B16+C16,0)</f>
        <v>21000000</v>
      </c>
      <c r="H16">
        <f>SUM($G$2:G16)</f>
        <v>310695973</v>
      </c>
      <c r="I16">
        <f t="shared" si="3"/>
        <v>258.91331083333336</v>
      </c>
      <c r="J16">
        <f t="shared" si="4"/>
        <v>283.98700816666667</v>
      </c>
      <c r="K16">
        <f t="shared" si="5"/>
        <v>4259.8051224999999</v>
      </c>
    </row>
    <row r="17" spans="1:11">
      <c r="A17">
        <v>16</v>
      </c>
      <c r="B17" s="6">
        <v>7290768</v>
      </c>
      <c r="C17" s="6">
        <v>13709232</v>
      </c>
      <c r="D17">
        <f t="shared" si="0"/>
        <v>5483692.7999999998</v>
      </c>
      <c r="E17">
        <f t="shared" si="1"/>
        <v>9.1394879999999983</v>
      </c>
      <c r="F17">
        <f t="shared" si="2"/>
        <v>14.581536</v>
      </c>
      <c r="G17">
        <f>IFERROR(B17+C17,0)</f>
        <v>21000000</v>
      </c>
      <c r="H17">
        <f>SUM($G$2:G17)</f>
        <v>331695973</v>
      </c>
      <c r="I17">
        <f t="shared" si="3"/>
        <v>276.41331083333336</v>
      </c>
      <c r="J17">
        <f t="shared" si="4"/>
        <v>300.1343348333333</v>
      </c>
      <c r="K17">
        <f t="shared" si="5"/>
        <v>4802.1493573333328</v>
      </c>
    </row>
    <row r="18" spans="1:11">
      <c r="A18">
        <v>17</v>
      </c>
      <c r="B18" s="6">
        <v>6695020</v>
      </c>
      <c r="C18" s="6">
        <v>14304980</v>
      </c>
      <c r="D18">
        <f t="shared" si="0"/>
        <v>5721992</v>
      </c>
      <c r="E18">
        <f t="shared" si="1"/>
        <v>9.5366533333333336</v>
      </c>
      <c r="F18">
        <f t="shared" si="2"/>
        <v>13.390040000000001</v>
      </c>
      <c r="G18">
        <f>IFERROR(B18+C18,0)</f>
        <v>21000000</v>
      </c>
      <c r="H18">
        <f>SUM($G$2:G18)</f>
        <v>352695973</v>
      </c>
      <c r="I18">
        <f t="shared" si="3"/>
        <v>293.9133108333333</v>
      </c>
      <c r="J18">
        <f t="shared" si="4"/>
        <v>316.84000416666663</v>
      </c>
      <c r="K18">
        <f t="shared" si="5"/>
        <v>5386.2800708333325</v>
      </c>
    </row>
    <row r="19" spans="1:11">
      <c r="A19">
        <v>18</v>
      </c>
      <c r="B19" s="6">
        <v>6356790</v>
      </c>
      <c r="C19" s="6">
        <v>14643210</v>
      </c>
      <c r="D19">
        <f t="shared" si="0"/>
        <v>5857284</v>
      </c>
      <c r="E19">
        <f t="shared" si="1"/>
        <v>9.7621399999999987</v>
      </c>
      <c r="F19">
        <f t="shared" si="2"/>
        <v>12.71358</v>
      </c>
      <c r="G19">
        <f>IFERROR(B19+C19,0)</f>
        <v>21000000</v>
      </c>
      <c r="H19">
        <f>SUM($G$2:G19)</f>
        <v>373695973</v>
      </c>
      <c r="I19">
        <f t="shared" si="3"/>
        <v>311.4133108333333</v>
      </c>
      <c r="J19">
        <f t="shared" si="4"/>
        <v>333.88903083333327</v>
      </c>
      <c r="K19">
        <f t="shared" si="5"/>
        <v>6010.0025549999991</v>
      </c>
    </row>
    <row r="20" spans="1:11">
      <c r="A20">
        <v>19</v>
      </c>
      <c r="B20" s="6">
        <v>5468742</v>
      </c>
      <c r="C20" s="6">
        <v>15531258</v>
      </c>
      <c r="D20">
        <f t="shared" si="0"/>
        <v>6212503.2000000002</v>
      </c>
      <c r="E20">
        <f t="shared" si="1"/>
        <v>10.354172</v>
      </c>
      <c r="F20">
        <f t="shared" si="2"/>
        <v>10.937484</v>
      </c>
      <c r="G20">
        <f>IFERROR(B20+C20,0)</f>
        <v>21000000</v>
      </c>
      <c r="H20">
        <f>SUM($G$2:G20)</f>
        <v>394695973</v>
      </c>
      <c r="I20">
        <f t="shared" si="3"/>
        <v>328.9133108333333</v>
      </c>
      <c r="J20">
        <f t="shared" si="4"/>
        <v>350.20496683333329</v>
      </c>
      <c r="K20">
        <f t="shared" si="5"/>
        <v>6653.8943698333323</v>
      </c>
    </row>
    <row r="21" spans="1:11">
      <c r="A21">
        <v>20</v>
      </c>
      <c r="B21" s="6">
        <v>6586695</v>
      </c>
      <c r="C21" s="6">
        <v>14413305</v>
      </c>
      <c r="D21">
        <f t="shared" si="0"/>
        <v>5765322</v>
      </c>
      <c r="E21">
        <f t="shared" si="1"/>
        <v>9.6088699999999996</v>
      </c>
      <c r="F21">
        <f t="shared" si="2"/>
        <v>13.173389999999999</v>
      </c>
      <c r="G21">
        <f>IFERROR(B21+C21,0)</f>
        <v>21000000</v>
      </c>
      <c r="H21">
        <f>SUM($G$2:G21)</f>
        <v>415695973</v>
      </c>
      <c r="I21">
        <f t="shared" si="3"/>
        <v>346.4133108333333</v>
      </c>
      <c r="J21">
        <f t="shared" si="4"/>
        <v>369.19557083333331</v>
      </c>
      <c r="K21">
        <f t="shared" si="5"/>
        <v>7383.9114166666659</v>
      </c>
    </row>
    <row r="22" spans="1:11">
      <c r="A22">
        <v>21</v>
      </c>
      <c r="B22" s="6">
        <v>7406781</v>
      </c>
      <c r="C22" s="6">
        <v>11293406</v>
      </c>
      <c r="D22">
        <f t="shared" si="0"/>
        <v>4517362.4000000004</v>
      </c>
      <c r="E22">
        <f t="shared" si="1"/>
        <v>7.5289373333333334</v>
      </c>
      <c r="F22">
        <f t="shared" si="2"/>
        <v>14.813561999999999</v>
      </c>
      <c r="G22">
        <f>IFERROR(B22+C22,0)</f>
        <v>18700187</v>
      </c>
      <c r="H22">
        <f>SUM($G$2:G22)</f>
        <v>434396160</v>
      </c>
      <c r="I22">
        <f t="shared" si="3"/>
        <v>361.99680000000001</v>
      </c>
      <c r="J22">
        <f t="shared" si="4"/>
        <v>384.33929933333332</v>
      </c>
      <c r="K22">
        <f t="shared" si="5"/>
        <v>8071.1252859999995</v>
      </c>
    </row>
    <row r="23" spans="1:11">
      <c r="B23" s="6"/>
      <c r="C23" s="6"/>
    </row>
    <row r="24" spans="1:11">
      <c r="B24" s="6"/>
      <c r="C24" s="6"/>
    </row>
    <row r="25" spans="1:11">
      <c r="B25" s="6"/>
      <c r="C25" s="6"/>
    </row>
    <row r="26" spans="1:11">
      <c r="B26" s="6"/>
      <c r="C26" s="6"/>
    </row>
    <row r="27" spans="1:11">
      <c r="B27" s="6"/>
      <c r="C27" s="6"/>
    </row>
    <row r="28" spans="1:11">
      <c r="B28" s="6"/>
      <c r="C28" s="6"/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225313280</v>
      </c>
    </row>
    <row r="37" spans="1:10">
      <c r="H37" s="14" t="s">
        <v>37</v>
      </c>
      <c r="I37" t="s">
        <v>2</v>
      </c>
      <c r="J37" s="15">
        <f>MAX(K2:K33)</f>
        <v>8071.1252859999995</v>
      </c>
    </row>
    <row r="38" spans="1:10">
      <c r="I38" t="s">
        <v>3</v>
      </c>
      <c r="J38" s="15">
        <f>MAX(J2:J33)</f>
        <v>384.33929933333332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/>
      <c r="B60" s="6"/>
      <c r="C60" s="6"/>
      <c r="D60" s="6"/>
      <c r="E60" s="6"/>
      <c r="F60" s="6"/>
      <c r="G60" s="6"/>
    </row>
    <row r="61" spans="1:9">
      <c r="A61" s="6"/>
      <c r="B61" s="6"/>
      <c r="C61" s="6"/>
      <c r="D61" s="6"/>
      <c r="E61" s="6"/>
      <c r="F61" s="6"/>
      <c r="G61" s="6"/>
    </row>
    <row r="62" spans="1:9">
      <c r="A62" s="6">
        <v>1</v>
      </c>
      <c r="B62" s="6">
        <v>12900000</v>
      </c>
      <c r="C62" s="6">
        <v>7606905</v>
      </c>
      <c r="D62" s="6">
        <v>0.59</v>
      </c>
      <c r="E62" s="6">
        <v>2.1835</v>
      </c>
      <c r="F62" s="6">
        <v>987993070</v>
      </c>
      <c r="G62" s="6">
        <v>898175518</v>
      </c>
    </row>
    <row r="63" spans="1:9">
      <c r="A63" s="6">
        <v>2</v>
      </c>
      <c r="B63" s="6">
        <v>12900000</v>
      </c>
      <c r="C63" s="6">
        <v>7855411</v>
      </c>
      <c r="D63" s="6">
        <v>0.61</v>
      </c>
      <c r="E63" s="6">
        <v>1.8402000000000001</v>
      </c>
      <c r="F63" s="6">
        <v>782196465</v>
      </c>
      <c r="G63" s="6">
        <v>646443360</v>
      </c>
    </row>
    <row r="64" spans="1:9">
      <c r="A64" s="6">
        <v>3</v>
      </c>
      <c r="B64" s="6">
        <v>12410649</v>
      </c>
      <c r="C64" s="6">
        <v>8589351</v>
      </c>
      <c r="D64" s="6">
        <v>0.69</v>
      </c>
      <c r="E64" s="6">
        <v>2.4155000000000002</v>
      </c>
      <c r="F64" s="6">
        <v>1079591269</v>
      </c>
      <c r="G64" s="6">
        <v>811112899</v>
      </c>
    </row>
    <row r="65" spans="1:7">
      <c r="A65" s="6">
        <v>4</v>
      </c>
      <c r="B65" s="6">
        <v>11440023</v>
      </c>
      <c r="C65" s="6">
        <v>9559977</v>
      </c>
      <c r="D65" s="6">
        <v>0.84</v>
      </c>
      <c r="E65" s="6">
        <v>2.5017999999999998</v>
      </c>
      <c r="F65" s="6">
        <v>1035462248</v>
      </c>
      <c r="G65" s="6">
        <v>707234648</v>
      </c>
    </row>
    <row r="66" spans="1:7">
      <c r="A66" s="6">
        <v>5</v>
      </c>
      <c r="B66" s="6">
        <v>12110546</v>
      </c>
      <c r="C66" s="6">
        <v>8889454</v>
      </c>
      <c r="D66" s="6">
        <v>0.73</v>
      </c>
      <c r="E66" s="6">
        <v>2.4895999999999998</v>
      </c>
      <c r="F66" s="6">
        <v>1093365722</v>
      </c>
      <c r="G66" s="6">
        <v>678894091</v>
      </c>
    </row>
    <row r="67" spans="1:7">
      <c r="A67" s="6">
        <v>6</v>
      </c>
      <c r="B67" s="6">
        <v>12899985</v>
      </c>
      <c r="C67" s="6">
        <v>8100015</v>
      </c>
      <c r="D67" s="6">
        <v>0.63</v>
      </c>
      <c r="E67" s="6">
        <v>2.3532999999999999</v>
      </c>
      <c r="F67" s="6">
        <v>1087737510</v>
      </c>
      <c r="G67" s="6">
        <v>613999467</v>
      </c>
    </row>
    <row r="68" spans="1:7">
      <c r="A68" s="6">
        <v>7</v>
      </c>
      <c r="B68" s="6">
        <v>12900000</v>
      </c>
      <c r="C68" s="6">
        <v>6431744</v>
      </c>
      <c r="D68" s="6">
        <v>0.5</v>
      </c>
      <c r="E68" s="6">
        <v>2.3576000000000001</v>
      </c>
      <c r="F68" s="6">
        <v>1095754500</v>
      </c>
      <c r="G68" s="6">
        <v>562295317</v>
      </c>
    </row>
    <row r="69" spans="1:7">
      <c r="A69" s="6">
        <v>8</v>
      </c>
      <c r="B69" s="6">
        <v>12900000</v>
      </c>
      <c r="C69" s="6">
        <v>6233475</v>
      </c>
      <c r="D69" s="6">
        <v>0.48</v>
      </c>
      <c r="E69" s="6">
        <v>2.4398</v>
      </c>
      <c r="F69" s="6">
        <v>1145469773</v>
      </c>
      <c r="G69" s="6">
        <v>534370103</v>
      </c>
    </row>
    <row r="70" spans="1:7">
      <c r="A70" s="6">
        <v>9</v>
      </c>
      <c r="B70" s="6">
        <v>12900000</v>
      </c>
      <c r="C70" s="6">
        <v>8068438</v>
      </c>
      <c r="D70" s="6">
        <v>0.63</v>
      </c>
      <c r="E70" s="6">
        <v>2.4937999999999998</v>
      </c>
      <c r="F70" s="6">
        <v>1171705534</v>
      </c>
      <c r="G70" s="6">
        <v>496917526</v>
      </c>
    </row>
    <row r="71" spans="1:7">
      <c r="A71" s="6">
        <v>10</v>
      </c>
      <c r="B71" s="6">
        <v>12495014</v>
      </c>
      <c r="C71" s="6">
        <v>8504986</v>
      </c>
      <c r="D71" s="6">
        <v>0.68</v>
      </c>
      <c r="E71" s="6">
        <v>2.5935999999999999</v>
      </c>
      <c r="F71" s="6">
        <v>1190358693</v>
      </c>
      <c r="G71" s="6">
        <v>458934806</v>
      </c>
    </row>
    <row r="72" spans="1:7">
      <c r="A72" s="6">
        <v>11</v>
      </c>
      <c r="B72" s="6">
        <v>10522557</v>
      </c>
      <c r="C72" s="6">
        <v>10477443</v>
      </c>
      <c r="D72" s="6">
        <v>1</v>
      </c>
      <c r="E72" s="6">
        <v>1.1021000000000001</v>
      </c>
      <c r="F72" s="6">
        <v>265237643</v>
      </c>
      <c r="G72" s="6">
        <v>92964176</v>
      </c>
    </row>
    <row r="73" spans="1:7">
      <c r="A73" s="6">
        <v>12</v>
      </c>
      <c r="B73" s="6">
        <v>8518123</v>
      </c>
      <c r="C73" s="6">
        <v>12481877</v>
      </c>
      <c r="D73" s="6">
        <v>1.47</v>
      </c>
      <c r="E73" s="6">
        <v>1.2093</v>
      </c>
      <c r="F73" s="6">
        <v>243860909</v>
      </c>
      <c r="G73" s="6">
        <v>77701601</v>
      </c>
    </row>
    <row r="74" spans="1:7">
      <c r="A74" s="6">
        <v>13</v>
      </c>
      <c r="B74" s="6">
        <v>7698761</v>
      </c>
      <c r="C74" s="6">
        <v>13301239</v>
      </c>
      <c r="D74" s="6">
        <v>1.73</v>
      </c>
      <c r="E74" s="6">
        <v>1.1319999999999999</v>
      </c>
      <c r="F74" s="6">
        <v>186235748</v>
      </c>
      <c r="G74" s="6">
        <v>53945862</v>
      </c>
    </row>
    <row r="75" spans="1:7">
      <c r="A75" s="6">
        <v>14</v>
      </c>
      <c r="B75" s="6">
        <v>8377153</v>
      </c>
      <c r="C75" s="6">
        <v>12622847</v>
      </c>
      <c r="D75" s="6">
        <v>1.51</v>
      </c>
      <c r="E75" s="6">
        <v>1.2405999999999999</v>
      </c>
      <c r="F75" s="6">
        <v>250809827</v>
      </c>
      <c r="G75" s="6">
        <v>66046066</v>
      </c>
    </row>
    <row r="76" spans="1:7">
      <c r="A76" s="6">
        <v>15</v>
      </c>
      <c r="B76" s="6">
        <v>8305273</v>
      </c>
      <c r="C76" s="6">
        <v>12694727</v>
      </c>
      <c r="D76" s="6">
        <v>1.53</v>
      </c>
      <c r="E76" s="6">
        <v>1.2763</v>
      </c>
      <c r="F76" s="6">
        <v>261808999</v>
      </c>
      <c r="G76" s="6">
        <v>62674993</v>
      </c>
    </row>
    <row r="77" spans="1:7">
      <c r="A77" s="6">
        <v>16</v>
      </c>
      <c r="B77" s="6">
        <v>7290768</v>
      </c>
      <c r="C77" s="6">
        <v>13709232</v>
      </c>
      <c r="D77" s="6">
        <v>1.88</v>
      </c>
      <c r="E77" s="6">
        <v>1.3160000000000001</v>
      </c>
      <c r="F77" s="6">
        <v>234794082</v>
      </c>
      <c r="G77" s="6">
        <v>51098033</v>
      </c>
    </row>
    <row r="78" spans="1:7">
      <c r="A78" s="6">
        <v>17</v>
      </c>
      <c r="B78" s="6">
        <v>6695020</v>
      </c>
      <c r="C78" s="6">
        <v>14304980</v>
      </c>
      <c r="D78" s="6">
        <v>2.14</v>
      </c>
      <c r="E78" s="6">
        <v>1.3717999999999999</v>
      </c>
      <c r="F78" s="6">
        <v>227293579</v>
      </c>
      <c r="G78" s="6">
        <v>44968823</v>
      </c>
    </row>
    <row r="79" spans="1:7">
      <c r="A79" s="6">
        <v>18</v>
      </c>
      <c r="B79" s="6">
        <v>6356790</v>
      </c>
      <c r="C79" s="6">
        <v>14643210</v>
      </c>
      <c r="D79" s="6">
        <v>2.2999999999999998</v>
      </c>
      <c r="E79" s="6">
        <v>1.522</v>
      </c>
      <c r="F79" s="6">
        <v>256503345</v>
      </c>
      <c r="G79" s="6">
        <v>46134381</v>
      </c>
    </row>
    <row r="80" spans="1:7">
      <c r="A80" s="6">
        <v>19</v>
      </c>
      <c r="B80" s="6">
        <v>5468742</v>
      </c>
      <c r="C80" s="6">
        <v>15531258</v>
      </c>
      <c r="D80" s="6">
        <v>2.84</v>
      </c>
      <c r="E80" s="6">
        <v>1.7354000000000001</v>
      </c>
      <c r="F80" s="6">
        <v>265052075</v>
      </c>
      <c r="G80" s="6">
        <v>43338132</v>
      </c>
    </row>
    <row r="81" spans="1:7">
      <c r="A81" s="6">
        <v>20</v>
      </c>
      <c r="B81" s="6">
        <v>6586695</v>
      </c>
      <c r="C81" s="6">
        <v>14413305</v>
      </c>
      <c r="D81" s="6">
        <v>2.19</v>
      </c>
      <c r="E81" s="6">
        <v>1.9595</v>
      </c>
      <c r="F81" s="6">
        <v>401626009</v>
      </c>
      <c r="G81" s="6">
        <v>59699147</v>
      </c>
    </row>
    <row r="82" spans="1:7">
      <c r="A82" s="6">
        <v>21</v>
      </c>
      <c r="B82" s="6">
        <v>7406781</v>
      </c>
      <c r="C82" s="6">
        <v>11293406</v>
      </c>
      <c r="D82" s="6">
        <v>1.52</v>
      </c>
      <c r="E82" s="6">
        <v>2.1232000000000002</v>
      </c>
      <c r="F82" s="6">
        <v>523893332</v>
      </c>
      <c r="G82" s="6">
        <v>71536815</v>
      </c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0"/>
  <sheetViews>
    <sheetView workbookViewId="0">
      <selection activeCell="C32" sqref="C32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9254804</v>
      </c>
      <c r="C2" s="6">
        <v>5745196</v>
      </c>
      <c r="D2">
        <f>C2/2.5</f>
        <v>2298078.4</v>
      </c>
      <c r="E2">
        <f>(D2/60)/10000</f>
        <v>3.8301306666666664</v>
      </c>
      <c r="F2">
        <f>(B2*2)/1000000</f>
        <v>18.509608</v>
      </c>
      <c r="G2">
        <f>IFERROR(B2+C2,0)</f>
        <v>15000000</v>
      </c>
      <c r="H2">
        <f>SUM($G$2:G2)</f>
        <v>15000000</v>
      </c>
      <c r="I2">
        <f>((H2/2.5)/48)/10000</f>
        <v>12.5</v>
      </c>
      <c r="J2">
        <f>I2+F2+E2</f>
        <v>34.839738666666669</v>
      </c>
      <c r="K2">
        <f>A2*J2</f>
        <v>34.839738666666669</v>
      </c>
    </row>
    <row r="3" spans="1:11">
      <c r="A3">
        <v>2</v>
      </c>
      <c r="B3" s="6">
        <v>9411724</v>
      </c>
      <c r="C3" s="6">
        <v>5588276</v>
      </c>
      <c r="D3">
        <f t="shared" ref="D3:D29" si="0">C3/2.5</f>
        <v>2235310.4</v>
      </c>
      <c r="E3">
        <f t="shared" ref="E3:E29" si="1">(D3/60)/10000</f>
        <v>3.7255173333333333</v>
      </c>
      <c r="F3">
        <f t="shared" ref="F3:F34" si="2">(B3*2)/1000000</f>
        <v>18.823447999999999</v>
      </c>
      <c r="G3">
        <f>IFERROR(B3+C3,0)</f>
        <v>15000000</v>
      </c>
      <c r="H3">
        <f>SUM($G$2:G3)</f>
        <v>30000000</v>
      </c>
      <c r="I3">
        <f t="shared" ref="I3:I29" si="3">((H3/2.5)/48)/10000</f>
        <v>25</v>
      </c>
      <c r="J3">
        <f t="shared" ref="J3:J29" si="4">I3+F3+E3</f>
        <v>47.548965333333335</v>
      </c>
      <c r="K3">
        <f t="shared" ref="K3:K29" si="5">A3*J3</f>
        <v>95.09793066666667</v>
      </c>
    </row>
    <row r="4" spans="1:11">
      <c r="A4">
        <v>3</v>
      </c>
      <c r="B4" s="6">
        <v>9177487</v>
      </c>
      <c r="C4" s="6">
        <v>5822513</v>
      </c>
      <c r="D4">
        <f t="shared" si="0"/>
        <v>2329005.2000000002</v>
      </c>
      <c r="E4">
        <f t="shared" si="1"/>
        <v>3.8816753333333334</v>
      </c>
      <c r="F4">
        <f t="shared" si="2"/>
        <v>18.354973999999999</v>
      </c>
      <c r="G4">
        <f>IFERROR(B4+C4,0)</f>
        <v>15000000</v>
      </c>
      <c r="H4">
        <f>SUM($G$2:G4)</f>
        <v>45000000</v>
      </c>
      <c r="I4">
        <f t="shared" si="3"/>
        <v>37.5</v>
      </c>
      <c r="J4">
        <f t="shared" si="4"/>
        <v>59.736649333333332</v>
      </c>
      <c r="K4">
        <f t="shared" si="5"/>
        <v>179.209948</v>
      </c>
    </row>
    <row r="5" spans="1:11">
      <c r="A5">
        <v>4</v>
      </c>
      <c r="B5" s="6">
        <v>8869896</v>
      </c>
      <c r="C5" s="6">
        <v>6130104</v>
      </c>
      <c r="D5">
        <f t="shared" si="0"/>
        <v>2452041.6</v>
      </c>
      <c r="E5">
        <f t="shared" si="1"/>
        <v>4.0867360000000001</v>
      </c>
      <c r="F5">
        <f t="shared" si="2"/>
        <v>17.739792000000001</v>
      </c>
      <c r="G5">
        <f>IFERROR(B5+C5,0)</f>
        <v>15000000</v>
      </c>
      <c r="H5">
        <f>SUM($G$2:G5)</f>
        <v>60000000</v>
      </c>
      <c r="I5">
        <f t="shared" si="3"/>
        <v>50</v>
      </c>
      <c r="J5">
        <f t="shared" si="4"/>
        <v>71.826527999999996</v>
      </c>
      <c r="K5">
        <f t="shared" si="5"/>
        <v>287.30611199999998</v>
      </c>
    </row>
    <row r="6" spans="1:11">
      <c r="A6">
        <v>5</v>
      </c>
      <c r="B6" s="6">
        <v>8431853</v>
      </c>
      <c r="C6" s="6">
        <v>6568147</v>
      </c>
      <c r="D6">
        <f t="shared" si="0"/>
        <v>2627258.7999999998</v>
      </c>
      <c r="E6">
        <f t="shared" si="1"/>
        <v>4.3787646666666662</v>
      </c>
      <c r="F6">
        <f t="shared" si="2"/>
        <v>16.863706000000001</v>
      </c>
      <c r="G6">
        <f>IFERROR(B6+C6,0)</f>
        <v>15000000</v>
      </c>
      <c r="H6">
        <f>SUM($G$2:G6)</f>
        <v>75000000</v>
      </c>
      <c r="I6">
        <f t="shared" si="3"/>
        <v>62.5</v>
      </c>
      <c r="J6">
        <f t="shared" si="4"/>
        <v>83.742470666666676</v>
      </c>
      <c r="K6">
        <f t="shared" si="5"/>
        <v>418.7123533333334</v>
      </c>
    </row>
    <row r="7" spans="1:11">
      <c r="A7">
        <v>6</v>
      </c>
      <c r="B7" s="6">
        <v>7931146</v>
      </c>
      <c r="C7" s="6">
        <v>7068854</v>
      </c>
      <c r="D7">
        <f t="shared" si="0"/>
        <v>2827541.6</v>
      </c>
      <c r="E7">
        <f t="shared" si="1"/>
        <v>4.7125693333333336</v>
      </c>
      <c r="F7">
        <f t="shared" si="2"/>
        <v>15.862292</v>
      </c>
      <c r="G7">
        <f>IFERROR(B7+C7,0)</f>
        <v>15000000</v>
      </c>
      <c r="H7">
        <f>SUM($G$2:G7)</f>
        <v>90000000</v>
      </c>
      <c r="I7">
        <f t="shared" si="3"/>
        <v>75</v>
      </c>
      <c r="J7">
        <f t="shared" si="4"/>
        <v>95.574861333333331</v>
      </c>
      <c r="K7">
        <f t="shared" si="5"/>
        <v>573.44916799999999</v>
      </c>
    </row>
    <row r="8" spans="1:11">
      <c r="A8">
        <v>7</v>
      </c>
      <c r="B8" s="6">
        <v>8927202</v>
      </c>
      <c r="C8" s="6">
        <v>6072798</v>
      </c>
      <c r="D8">
        <f t="shared" si="0"/>
        <v>2429119.2000000002</v>
      </c>
      <c r="E8">
        <f t="shared" si="1"/>
        <v>4.0485319999999998</v>
      </c>
      <c r="F8">
        <f t="shared" si="2"/>
        <v>17.854403999999999</v>
      </c>
      <c r="G8">
        <f>IFERROR(B8+C8,0)</f>
        <v>15000000</v>
      </c>
      <c r="H8">
        <f>SUM($G$2:G8)</f>
        <v>105000000</v>
      </c>
      <c r="I8">
        <f t="shared" si="3"/>
        <v>87.5</v>
      </c>
      <c r="J8">
        <f t="shared" si="4"/>
        <v>109.402936</v>
      </c>
      <c r="K8">
        <f t="shared" si="5"/>
        <v>765.82055200000002</v>
      </c>
    </row>
    <row r="9" spans="1:11">
      <c r="A9">
        <v>8</v>
      </c>
      <c r="B9" s="6">
        <v>9921598</v>
      </c>
      <c r="C9" s="6">
        <v>5078402</v>
      </c>
      <c r="D9">
        <f t="shared" si="0"/>
        <v>2031360.8</v>
      </c>
      <c r="E9">
        <f t="shared" si="1"/>
        <v>3.3856013333333337</v>
      </c>
      <c r="F9">
        <f t="shared" si="2"/>
        <v>19.843195999999999</v>
      </c>
      <c r="G9">
        <f>IFERROR(B9+C9,0)</f>
        <v>15000000</v>
      </c>
      <c r="H9">
        <f>SUM($G$2:G9)</f>
        <v>120000000</v>
      </c>
      <c r="I9">
        <f t="shared" si="3"/>
        <v>100</v>
      </c>
      <c r="J9">
        <f t="shared" si="4"/>
        <v>123.22879733333335</v>
      </c>
      <c r="K9">
        <f t="shared" si="5"/>
        <v>985.83037866666677</v>
      </c>
    </row>
    <row r="10" spans="1:11">
      <c r="A10">
        <v>9</v>
      </c>
      <c r="B10" s="6">
        <v>9918752</v>
      </c>
      <c r="C10" s="6">
        <v>5081248</v>
      </c>
      <c r="D10">
        <f t="shared" si="0"/>
        <v>2032499.2</v>
      </c>
      <c r="E10">
        <f t="shared" si="1"/>
        <v>3.3874986666666662</v>
      </c>
      <c r="F10">
        <f t="shared" si="2"/>
        <v>19.837503999999999</v>
      </c>
      <c r="G10">
        <f>IFERROR(B10+C10,0)</f>
        <v>15000000</v>
      </c>
      <c r="H10">
        <f>SUM($G$2:G10)</f>
        <v>135000000</v>
      </c>
      <c r="I10">
        <f t="shared" si="3"/>
        <v>112.5</v>
      </c>
      <c r="J10">
        <f t="shared" si="4"/>
        <v>135.72500266666665</v>
      </c>
      <c r="K10">
        <f t="shared" si="5"/>
        <v>1221.5250239999998</v>
      </c>
    </row>
    <row r="11" spans="1:11">
      <c r="A11">
        <v>10</v>
      </c>
      <c r="B11" s="6">
        <v>9990124</v>
      </c>
      <c r="C11" s="6">
        <v>5009876</v>
      </c>
      <c r="D11">
        <f t="shared" si="0"/>
        <v>2003950.4</v>
      </c>
      <c r="E11">
        <f t="shared" si="1"/>
        <v>3.3399173333333332</v>
      </c>
      <c r="F11">
        <f t="shared" si="2"/>
        <v>19.980248</v>
      </c>
      <c r="G11">
        <f>IFERROR(B11+C11,0)</f>
        <v>15000000</v>
      </c>
      <c r="H11">
        <f>SUM($G$2:G11)</f>
        <v>150000000</v>
      </c>
      <c r="I11">
        <f t="shared" si="3"/>
        <v>125</v>
      </c>
      <c r="J11">
        <f t="shared" si="4"/>
        <v>148.32016533333334</v>
      </c>
      <c r="K11">
        <f t="shared" si="5"/>
        <v>1483.2016533333333</v>
      </c>
    </row>
    <row r="12" spans="1:11">
      <c r="A12">
        <v>11</v>
      </c>
      <c r="B12" s="6">
        <v>9996721</v>
      </c>
      <c r="C12" s="6">
        <v>5003279</v>
      </c>
      <c r="D12">
        <f t="shared" si="0"/>
        <v>2001311.6</v>
      </c>
      <c r="E12">
        <f t="shared" si="1"/>
        <v>3.3355193333333335</v>
      </c>
      <c r="F12">
        <f t="shared" si="2"/>
        <v>19.993442000000002</v>
      </c>
      <c r="G12">
        <f>IFERROR(B12+C12,0)</f>
        <v>15000000</v>
      </c>
      <c r="H12">
        <f>SUM($G$2:G12)</f>
        <v>165000000</v>
      </c>
      <c r="I12">
        <f t="shared" si="3"/>
        <v>137.5</v>
      </c>
      <c r="J12">
        <f t="shared" si="4"/>
        <v>160.82896133333335</v>
      </c>
      <c r="K12">
        <f t="shared" si="5"/>
        <v>1769.118574666667</v>
      </c>
    </row>
    <row r="13" spans="1:11">
      <c r="A13">
        <v>12</v>
      </c>
      <c r="B13" s="6">
        <v>9988051</v>
      </c>
      <c r="C13" s="6">
        <v>5011949</v>
      </c>
      <c r="D13">
        <f t="shared" si="0"/>
        <v>2004779.6</v>
      </c>
      <c r="E13">
        <f t="shared" si="1"/>
        <v>3.3412993333333332</v>
      </c>
      <c r="F13">
        <f t="shared" si="2"/>
        <v>19.976102000000001</v>
      </c>
      <c r="G13">
        <f>IFERROR(B13+C13,0)</f>
        <v>15000000</v>
      </c>
      <c r="H13">
        <f>SUM($G$2:G13)</f>
        <v>180000000</v>
      </c>
      <c r="I13">
        <f t="shared" si="3"/>
        <v>150</v>
      </c>
      <c r="J13">
        <f t="shared" si="4"/>
        <v>173.31740133333332</v>
      </c>
      <c r="K13">
        <f t="shared" si="5"/>
        <v>2079.8088159999998</v>
      </c>
    </row>
    <row r="14" spans="1:11">
      <c r="A14">
        <v>13</v>
      </c>
      <c r="B14" s="6">
        <v>9201176</v>
      </c>
      <c r="C14" s="6">
        <v>5798824</v>
      </c>
      <c r="D14">
        <f t="shared" si="0"/>
        <v>2319529.6</v>
      </c>
      <c r="E14">
        <f t="shared" si="1"/>
        <v>3.8658826666666668</v>
      </c>
      <c r="F14">
        <f t="shared" si="2"/>
        <v>18.402352</v>
      </c>
      <c r="G14">
        <f>IFERROR(B14+C14,0)</f>
        <v>15000000</v>
      </c>
      <c r="H14">
        <f>SUM($G$2:G14)</f>
        <v>195000000</v>
      </c>
      <c r="I14">
        <f t="shared" si="3"/>
        <v>162.5</v>
      </c>
      <c r="J14">
        <f t="shared" si="4"/>
        <v>184.76823466666667</v>
      </c>
      <c r="K14">
        <f t="shared" si="5"/>
        <v>2401.9870506666666</v>
      </c>
    </row>
    <row r="15" spans="1:11">
      <c r="A15">
        <v>14</v>
      </c>
      <c r="B15" s="6">
        <v>7850100</v>
      </c>
      <c r="C15" s="6">
        <v>7149900</v>
      </c>
      <c r="D15">
        <f t="shared" si="0"/>
        <v>2859960</v>
      </c>
      <c r="E15">
        <f t="shared" si="1"/>
        <v>4.7666000000000004</v>
      </c>
      <c r="F15">
        <f t="shared" si="2"/>
        <v>15.700200000000001</v>
      </c>
      <c r="G15">
        <f>IFERROR(B15+C15,0)</f>
        <v>15000000</v>
      </c>
      <c r="H15">
        <f>SUM($G$2:G15)</f>
        <v>210000000</v>
      </c>
      <c r="I15">
        <f t="shared" si="3"/>
        <v>175</v>
      </c>
      <c r="J15">
        <f t="shared" si="4"/>
        <v>195.46680000000001</v>
      </c>
      <c r="K15">
        <f t="shared" si="5"/>
        <v>2736.5352000000003</v>
      </c>
    </row>
    <row r="16" spans="1:11">
      <c r="A16">
        <v>15</v>
      </c>
      <c r="B16" s="6">
        <v>8116328</v>
      </c>
      <c r="C16" s="6">
        <v>6883672</v>
      </c>
      <c r="D16">
        <f t="shared" si="0"/>
        <v>2753468.8</v>
      </c>
      <c r="E16">
        <f t="shared" si="1"/>
        <v>4.5891146666666662</v>
      </c>
      <c r="F16">
        <f t="shared" si="2"/>
        <v>16.232655999999999</v>
      </c>
      <c r="G16">
        <f>IFERROR(B16+C16,0)</f>
        <v>15000000</v>
      </c>
      <c r="H16">
        <f>SUM($G$2:G16)</f>
        <v>225000000</v>
      </c>
      <c r="I16">
        <f t="shared" si="3"/>
        <v>187.5</v>
      </c>
      <c r="J16">
        <f t="shared" si="4"/>
        <v>208.32177066666665</v>
      </c>
      <c r="K16">
        <f t="shared" si="5"/>
        <v>3124.82656</v>
      </c>
    </row>
    <row r="17" spans="1:11">
      <c r="A17">
        <v>16</v>
      </c>
      <c r="B17" s="6">
        <v>6683157</v>
      </c>
      <c r="C17" s="6">
        <v>8316843</v>
      </c>
      <c r="D17">
        <f t="shared" si="0"/>
        <v>3326737.2</v>
      </c>
      <c r="E17">
        <f t="shared" si="1"/>
        <v>5.544562</v>
      </c>
      <c r="F17">
        <f t="shared" si="2"/>
        <v>13.366313999999999</v>
      </c>
      <c r="G17">
        <f>IFERROR(B17+C17,0)</f>
        <v>15000000</v>
      </c>
      <c r="H17">
        <f>SUM($G$2:G17)</f>
        <v>240000000</v>
      </c>
      <c r="I17">
        <f t="shared" si="3"/>
        <v>200</v>
      </c>
      <c r="J17">
        <f t="shared" si="4"/>
        <v>218.910876</v>
      </c>
      <c r="K17">
        <f t="shared" si="5"/>
        <v>3502.574016</v>
      </c>
    </row>
    <row r="18" spans="1:11">
      <c r="A18">
        <v>17</v>
      </c>
      <c r="B18" s="6">
        <v>6110855</v>
      </c>
      <c r="C18" s="6">
        <v>8889145</v>
      </c>
      <c r="D18">
        <f t="shared" si="0"/>
        <v>3555658</v>
      </c>
      <c r="E18">
        <f t="shared" si="1"/>
        <v>5.926096666666667</v>
      </c>
      <c r="F18">
        <f t="shared" si="2"/>
        <v>12.22171</v>
      </c>
      <c r="G18">
        <f>IFERROR(B18+C18,0)</f>
        <v>15000000</v>
      </c>
      <c r="H18">
        <f>SUM($G$2:G18)</f>
        <v>255000000</v>
      </c>
      <c r="I18">
        <f t="shared" si="3"/>
        <v>212.5</v>
      </c>
      <c r="J18">
        <f t="shared" si="4"/>
        <v>230.64780666666667</v>
      </c>
      <c r="K18">
        <f t="shared" si="5"/>
        <v>3921.0127133333335</v>
      </c>
    </row>
    <row r="19" spans="1:11">
      <c r="A19">
        <v>18</v>
      </c>
      <c r="B19" s="6">
        <v>6289016</v>
      </c>
      <c r="C19" s="6">
        <v>8710984</v>
      </c>
      <c r="D19">
        <f t="shared" si="0"/>
        <v>3484393.6</v>
      </c>
      <c r="E19">
        <f t="shared" si="1"/>
        <v>5.8073226666666669</v>
      </c>
      <c r="F19">
        <f t="shared" si="2"/>
        <v>12.578032</v>
      </c>
      <c r="G19">
        <f>IFERROR(B19+C19,0)</f>
        <v>15000000</v>
      </c>
      <c r="H19">
        <f>SUM($G$2:G19)</f>
        <v>270000000</v>
      </c>
      <c r="I19">
        <f t="shared" si="3"/>
        <v>225</v>
      </c>
      <c r="J19">
        <f t="shared" si="4"/>
        <v>243.38535466666667</v>
      </c>
      <c r="K19">
        <f t="shared" si="5"/>
        <v>4380.9363840000005</v>
      </c>
    </row>
    <row r="20" spans="1:11">
      <c r="A20">
        <v>19</v>
      </c>
      <c r="B20" s="6">
        <v>5933272</v>
      </c>
      <c r="C20" s="6">
        <v>9066728</v>
      </c>
      <c r="D20">
        <f t="shared" si="0"/>
        <v>3626691.2</v>
      </c>
      <c r="E20">
        <f t="shared" si="1"/>
        <v>6.0444853333333342</v>
      </c>
      <c r="F20">
        <f t="shared" si="2"/>
        <v>11.866543999999999</v>
      </c>
      <c r="G20">
        <f>IFERROR(B20+C20,0)</f>
        <v>15000000</v>
      </c>
      <c r="H20">
        <f>SUM($G$2:G20)</f>
        <v>285000000</v>
      </c>
      <c r="I20">
        <f t="shared" si="3"/>
        <v>237.5</v>
      </c>
      <c r="J20">
        <f t="shared" si="4"/>
        <v>255.41102933333335</v>
      </c>
      <c r="K20">
        <f t="shared" si="5"/>
        <v>4852.8095573333339</v>
      </c>
    </row>
    <row r="21" spans="1:11">
      <c r="A21">
        <v>20</v>
      </c>
      <c r="B21" s="6">
        <v>5344473</v>
      </c>
      <c r="C21" s="6">
        <v>9655527</v>
      </c>
      <c r="D21">
        <f t="shared" si="0"/>
        <v>3862210.8</v>
      </c>
      <c r="E21">
        <f t="shared" si="1"/>
        <v>6.4370180000000001</v>
      </c>
      <c r="F21">
        <f t="shared" si="2"/>
        <v>10.688946</v>
      </c>
      <c r="G21">
        <f>IFERROR(B21+C21,0)</f>
        <v>15000000</v>
      </c>
      <c r="H21">
        <f>SUM($G$2:G21)</f>
        <v>300000000</v>
      </c>
      <c r="I21">
        <f t="shared" si="3"/>
        <v>250</v>
      </c>
      <c r="J21">
        <f t="shared" si="4"/>
        <v>267.12596400000001</v>
      </c>
      <c r="K21">
        <f t="shared" si="5"/>
        <v>5342.5192800000004</v>
      </c>
    </row>
    <row r="22" spans="1:11">
      <c r="A22">
        <v>21</v>
      </c>
      <c r="B22" s="6">
        <v>4726088</v>
      </c>
      <c r="C22" s="6">
        <v>10273912</v>
      </c>
      <c r="D22">
        <f t="shared" si="0"/>
        <v>4109564.8</v>
      </c>
      <c r="E22">
        <f t="shared" si="1"/>
        <v>6.8492746666666662</v>
      </c>
      <c r="F22">
        <f t="shared" si="2"/>
        <v>9.4521759999999997</v>
      </c>
      <c r="G22">
        <f>IFERROR(B22+C22,0)</f>
        <v>15000000</v>
      </c>
      <c r="H22">
        <f>SUM($G$2:G22)</f>
        <v>315000000</v>
      </c>
      <c r="I22">
        <f t="shared" si="3"/>
        <v>262.5</v>
      </c>
      <c r="J22">
        <f t="shared" si="4"/>
        <v>278.80145066666665</v>
      </c>
      <c r="K22">
        <f t="shared" si="5"/>
        <v>5854.8304639999997</v>
      </c>
    </row>
    <row r="23" spans="1:11">
      <c r="A23">
        <v>22</v>
      </c>
      <c r="B23" s="6">
        <v>4397335</v>
      </c>
      <c r="C23" s="6">
        <v>10602665</v>
      </c>
      <c r="D23">
        <f t="shared" si="0"/>
        <v>4241066</v>
      </c>
      <c r="E23">
        <f t="shared" si="1"/>
        <v>7.0684433333333336</v>
      </c>
      <c r="F23">
        <f t="shared" si="2"/>
        <v>8.79467</v>
      </c>
      <c r="G23">
        <f>IFERROR(B23+C23,0)</f>
        <v>15000000</v>
      </c>
      <c r="H23">
        <f>SUM($G$2:G23)</f>
        <v>330000000</v>
      </c>
      <c r="I23">
        <f t="shared" si="3"/>
        <v>275</v>
      </c>
      <c r="J23">
        <f t="shared" si="4"/>
        <v>290.86311333333333</v>
      </c>
      <c r="K23">
        <f t="shared" si="5"/>
        <v>6398.9884933333333</v>
      </c>
    </row>
    <row r="24" spans="1:11">
      <c r="A24">
        <v>23</v>
      </c>
      <c r="B24" s="6">
        <v>4008073</v>
      </c>
      <c r="C24" s="6">
        <v>10991927</v>
      </c>
      <c r="D24">
        <f t="shared" si="0"/>
        <v>4396770.8</v>
      </c>
      <c r="E24">
        <f t="shared" si="1"/>
        <v>7.3279513333333339</v>
      </c>
      <c r="F24">
        <f t="shared" si="2"/>
        <v>8.0161460000000009</v>
      </c>
      <c r="G24">
        <f>IFERROR(B24+C24,0)</f>
        <v>15000000</v>
      </c>
      <c r="H24">
        <f>SUM($G$2:G24)</f>
        <v>345000000</v>
      </c>
      <c r="I24">
        <f t="shared" si="3"/>
        <v>287.5</v>
      </c>
      <c r="J24">
        <f t="shared" si="4"/>
        <v>302.84409733333331</v>
      </c>
      <c r="K24">
        <f t="shared" si="5"/>
        <v>6965.4142386666663</v>
      </c>
    </row>
    <row r="25" spans="1:11">
      <c r="A25">
        <v>24</v>
      </c>
      <c r="B25" s="6">
        <v>3537167</v>
      </c>
      <c r="C25" s="6">
        <v>11462833</v>
      </c>
      <c r="D25">
        <f t="shared" si="0"/>
        <v>4585133.2</v>
      </c>
      <c r="E25">
        <f t="shared" si="1"/>
        <v>7.6418886666666674</v>
      </c>
      <c r="F25">
        <f t="shared" si="2"/>
        <v>7.0743340000000003</v>
      </c>
      <c r="G25">
        <f>IFERROR(B25+C25,0)</f>
        <v>15000000</v>
      </c>
      <c r="H25">
        <f>SUM($G$2:G25)</f>
        <v>360000000</v>
      </c>
      <c r="I25">
        <f t="shared" si="3"/>
        <v>300</v>
      </c>
      <c r="J25">
        <f t="shared" si="4"/>
        <v>314.71622266666668</v>
      </c>
      <c r="K25">
        <f t="shared" si="5"/>
        <v>7553.1893440000003</v>
      </c>
    </row>
    <row r="26" spans="1:11">
      <c r="A26">
        <v>25</v>
      </c>
      <c r="B26" s="6">
        <v>4689461</v>
      </c>
      <c r="C26" s="6">
        <v>10310539</v>
      </c>
      <c r="D26">
        <f t="shared" si="0"/>
        <v>4124215.6</v>
      </c>
      <c r="E26">
        <f t="shared" si="1"/>
        <v>6.8736926666666669</v>
      </c>
      <c r="F26">
        <f t="shared" si="2"/>
        <v>9.3789219999999993</v>
      </c>
      <c r="G26">
        <f>IFERROR(B26+C26,0)</f>
        <v>15000000</v>
      </c>
      <c r="H26">
        <f>SUM($G$2:G26)</f>
        <v>375000000</v>
      </c>
      <c r="I26">
        <f t="shared" si="3"/>
        <v>312.5</v>
      </c>
      <c r="J26">
        <f t="shared" si="4"/>
        <v>328.75261466666666</v>
      </c>
      <c r="K26">
        <f t="shared" si="5"/>
        <v>8218.8153666666658</v>
      </c>
    </row>
    <row r="27" spans="1:11">
      <c r="A27">
        <v>26</v>
      </c>
      <c r="B27" s="6">
        <v>5718682</v>
      </c>
      <c r="C27" s="6">
        <v>9281318</v>
      </c>
      <c r="D27">
        <f t="shared" si="0"/>
        <v>3712527.2</v>
      </c>
      <c r="E27">
        <f t="shared" si="1"/>
        <v>6.1875453333333335</v>
      </c>
      <c r="F27">
        <f t="shared" si="2"/>
        <v>11.437364000000001</v>
      </c>
      <c r="G27">
        <f t="shared" ref="G27:G29" si="6">IFERROR(B27+C27,0)</f>
        <v>15000000</v>
      </c>
      <c r="H27">
        <f>SUM($G$2:G27)</f>
        <v>390000000</v>
      </c>
      <c r="I27">
        <f t="shared" si="3"/>
        <v>325</v>
      </c>
      <c r="J27">
        <f t="shared" si="4"/>
        <v>342.62490933333333</v>
      </c>
      <c r="K27">
        <f t="shared" si="5"/>
        <v>8908.2476426666672</v>
      </c>
    </row>
    <row r="28" spans="1:11">
      <c r="A28">
        <v>27</v>
      </c>
      <c r="B28" s="6">
        <v>2416420</v>
      </c>
      <c r="C28" s="6">
        <v>3753820</v>
      </c>
      <c r="D28">
        <f t="shared" si="0"/>
        <v>1501528</v>
      </c>
      <c r="E28">
        <f t="shared" si="1"/>
        <v>2.5025466666666669</v>
      </c>
      <c r="F28">
        <f t="shared" si="2"/>
        <v>4.83284</v>
      </c>
      <c r="G28">
        <f t="shared" si="6"/>
        <v>6170240</v>
      </c>
      <c r="H28">
        <f>SUM($G$2:G28)</f>
        <v>396170240</v>
      </c>
      <c r="I28">
        <f t="shared" si="3"/>
        <v>330.14186666666666</v>
      </c>
      <c r="J28">
        <f t="shared" si="4"/>
        <v>337.47725333333329</v>
      </c>
      <c r="K28">
        <f t="shared" si="5"/>
        <v>9111.885839999999</v>
      </c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199329279</v>
      </c>
    </row>
    <row r="37" spans="1:10">
      <c r="H37" s="14" t="s">
        <v>37</v>
      </c>
      <c r="I37" t="s">
        <v>2</v>
      </c>
      <c r="J37" s="15">
        <f>MAX(K2:K33)</f>
        <v>9111.885839999999</v>
      </c>
    </row>
    <row r="38" spans="1:10">
      <c r="I38" t="s">
        <v>3</v>
      </c>
      <c r="J38" s="15">
        <f>MAX(J2:J33)</f>
        <v>342.62490933333333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>
        <v>1</v>
      </c>
      <c r="B60" s="6">
        <v>9254804</v>
      </c>
      <c r="C60" s="6">
        <v>5745196</v>
      </c>
      <c r="D60" s="6">
        <v>0.62</v>
      </c>
      <c r="E60" s="6">
        <v>2.3468</v>
      </c>
      <c r="F60" s="6">
        <v>777796747</v>
      </c>
      <c r="G60" s="6">
        <v>707087952</v>
      </c>
    </row>
    <row r="61" spans="1:9">
      <c r="A61" s="6">
        <v>2</v>
      </c>
      <c r="B61" s="6">
        <v>9411724</v>
      </c>
      <c r="C61" s="6">
        <v>5588276</v>
      </c>
      <c r="D61" s="6">
        <v>0.59</v>
      </c>
      <c r="E61" s="6">
        <v>1.7284999999999999</v>
      </c>
      <c r="F61" s="6">
        <v>522524166</v>
      </c>
      <c r="G61" s="6">
        <v>431838154</v>
      </c>
    </row>
    <row r="62" spans="1:9">
      <c r="A62" s="6">
        <v>3</v>
      </c>
      <c r="B62" s="6">
        <v>9177487</v>
      </c>
      <c r="C62" s="6">
        <v>5822513</v>
      </c>
      <c r="D62" s="6">
        <v>0.63</v>
      </c>
      <c r="E62" s="6">
        <v>2.0068000000000001</v>
      </c>
      <c r="F62" s="6">
        <v>626490034</v>
      </c>
      <c r="G62" s="6">
        <v>470691235</v>
      </c>
    </row>
    <row r="63" spans="1:9">
      <c r="A63" s="6">
        <v>4</v>
      </c>
      <c r="B63" s="6">
        <v>8869896</v>
      </c>
      <c r="C63" s="6">
        <v>6130104</v>
      </c>
      <c r="D63" s="6">
        <v>0.69</v>
      </c>
      <c r="E63" s="6">
        <v>2.4203000000000001</v>
      </c>
      <c r="F63" s="6">
        <v>773588276</v>
      </c>
      <c r="G63" s="6">
        <v>528371202</v>
      </c>
    </row>
    <row r="64" spans="1:9">
      <c r="A64" s="6">
        <v>5</v>
      </c>
      <c r="B64" s="6">
        <v>8431853</v>
      </c>
      <c r="C64" s="6">
        <v>6568147</v>
      </c>
      <c r="D64" s="6">
        <v>0.78</v>
      </c>
      <c r="E64" s="6">
        <v>2.5232999999999999</v>
      </c>
      <c r="F64" s="6">
        <v>773132258</v>
      </c>
      <c r="G64" s="6">
        <v>480054305</v>
      </c>
    </row>
    <row r="65" spans="1:7">
      <c r="A65" s="6">
        <v>6</v>
      </c>
      <c r="B65" s="6">
        <v>7931146</v>
      </c>
      <c r="C65" s="6">
        <v>7068854</v>
      </c>
      <c r="D65" s="6">
        <v>0.89</v>
      </c>
      <c r="E65" s="6">
        <v>2.4529999999999998</v>
      </c>
      <c r="F65" s="6">
        <v>698504737</v>
      </c>
      <c r="G65" s="6">
        <v>394287714</v>
      </c>
    </row>
    <row r="66" spans="1:7">
      <c r="A66" s="6">
        <v>7</v>
      </c>
      <c r="B66" s="6">
        <v>8927202</v>
      </c>
      <c r="C66" s="6">
        <v>6072798</v>
      </c>
      <c r="D66" s="6">
        <v>0.68</v>
      </c>
      <c r="E66" s="6">
        <v>2.5057999999999998</v>
      </c>
      <c r="F66" s="6">
        <v>814198803</v>
      </c>
      <c r="G66" s="6">
        <v>417812725</v>
      </c>
    </row>
    <row r="67" spans="1:7">
      <c r="A67" s="6">
        <v>8</v>
      </c>
      <c r="B67" s="6">
        <v>9921598</v>
      </c>
      <c r="C67" s="6">
        <v>5078402</v>
      </c>
      <c r="D67" s="6">
        <v>0.51</v>
      </c>
      <c r="E67" s="6">
        <v>2.3544</v>
      </c>
      <c r="F67" s="6">
        <v>840861215</v>
      </c>
      <c r="G67" s="6">
        <v>392267962</v>
      </c>
    </row>
    <row r="68" spans="1:7">
      <c r="A68" s="6">
        <v>9</v>
      </c>
      <c r="B68" s="6">
        <v>9918752</v>
      </c>
      <c r="C68" s="6">
        <v>5081248</v>
      </c>
      <c r="D68" s="6">
        <v>0.51</v>
      </c>
      <c r="E68" s="6">
        <v>2.3515999999999999</v>
      </c>
      <c r="F68" s="6">
        <v>839319869</v>
      </c>
      <c r="G68" s="6">
        <v>355953558</v>
      </c>
    </row>
    <row r="69" spans="1:7">
      <c r="A69" s="6">
        <v>10</v>
      </c>
      <c r="B69" s="6">
        <v>9990124</v>
      </c>
      <c r="C69" s="6">
        <v>5009876</v>
      </c>
      <c r="D69" s="6">
        <v>0.5</v>
      </c>
      <c r="E69" s="6">
        <v>2.371</v>
      </c>
      <c r="F69" s="6">
        <v>854710191</v>
      </c>
      <c r="G69" s="6">
        <v>329527779</v>
      </c>
    </row>
    <row r="70" spans="1:7">
      <c r="A70" s="6">
        <v>11</v>
      </c>
      <c r="B70" s="6">
        <v>9996721</v>
      </c>
      <c r="C70" s="6">
        <v>5003279</v>
      </c>
      <c r="D70" s="6">
        <v>0.5</v>
      </c>
      <c r="E70" s="6">
        <v>2.4649999999999999</v>
      </c>
      <c r="F70" s="6">
        <v>898780699</v>
      </c>
      <c r="G70" s="6">
        <v>315017152</v>
      </c>
    </row>
    <row r="71" spans="1:7">
      <c r="A71" s="6">
        <v>12</v>
      </c>
      <c r="B71" s="6">
        <v>9988051</v>
      </c>
      <c r="C71" s="6">
        <v>5011949</v>
      </c>
      <c r="D71" s="6">
        <v>0.5</v>
      </c>
      <c r="E71" s="6">
        <v>2.556</v>
      </c>
      <c r="F71" s="6">
        <v>940018667</v>
      </c>
      <c r="G71" s="6">
        <v>299518917</v>
      </c>
    </row>
    <row r="72" spans="1:7">
      <c r="A72" s="6">
        <v>13</v>
      </c>
      <c r="B72" s="6">
        <v>9201176</v>
      </c>
      <c r="C72" s="6">
        <v>5798824</v>
      </c>
      <c r="D72" s="6">
        <v>0.63</v>
      </c>
      <c r="E72" s="6">
        <v>3.4352999999999998</v>
      </c>
      <c r="F72" s="6">
        <v>1236495753</v>
      </c>
      <c r="G72" s="6">
        <v>358168775</v>
      </c>
    </row>
    <row r="73" spans="1:7">
      <c r="A73" s="6">
        <v>14</v>
      </c>
      <c r="B73" s="6">
        <v>7850100</v>
      </c>
      <c r="C73" s="6">
        <v>7149900</v>
      </c>
      <c r="D73" s="6">
        <v>0.91</v>
      </c>
      <c r="E73" s="6">
        <v>1.0107999999999999</v>
      </c>
      <c r="F73" s="6">
        <v>166906722</v>
      </c>
      <c r="G73" s="6">
        <v>43951756</v>
      </c>
    </row>
    <row r="74" spans="1:7">
      <c r="A74" s="6">
        <v>15</v>
      </c>
      <c r="B74" s="6">
        <v>8116328</v>
      </c>
      <c r="C74" s="6">
        <v>6883672</v>
      </c>
      <c r="D74" s="6">
        <v>0.85</v>
      </c>
      <c r="E74" s="6">
        <v>1.2157</v>
      </c>
      <c r="F74" s="6">
        <v>251186505</v>
      </c>
      <c r="G74" s="6">
        <v>60132052</v>
      </c>
    </row>
    <row r="75" spans="1:7">
      <c r="A75" s="6">
        <v>16</v>
      </c>
      <c r="B75" s="6">
        <v>6683157</v>
      </c>
      <c r="C75" s="6">
        <v>8316843</v>
      </c>
      <c r="D75" s="6">
        <v>1.24</v>
      </c>
      <c r="E75" s="6">
        <v>1.2096</v>
      </c>
      <c r="F75" s="6">
        <v>196272942</v>
      </c>
      <c r="G75" s="6">
        <v>42714711</v>
      </c>
    </row>
    <row r="76" spans="1:7">
      <c r="A76" s="6">
        <v>17</v>
      </c>
      <c r="B76" s="6">
        <v>6110855</v>
      </c>
      <c r="C76" s="6">
        <v>8889145</v>
      </c>
      <c r="D76" s="6">
        <v>1.45</v>
      </c>
      <c r="E76" s="6">
        <v>1.171</v>
      </c>
      <c r="F76" s="6">
        <v>164345533</v>
      </c>
      <c r="G76" s="6">
        <v>32514888</v>
      </c>
    </row>
    <row r="77" spans="1:7">
      <c r="A77" s="6">
        <v>18</v>
      </c>
      <c r="B77" s="6">
        <v>6289016</v>
      </c>
      <c r="C77" s="6">
        <v>8710984</v>
      </c>
      <c r="D77" s="6">
        <v>1.39</v>
      </c>
      <c r="E77" s="6">
        <v>1.2809999999999999</v>
      </c>
      <c r="F77" s="6">
        <v>202588424</v>
      </c>
      <c r="G77" s="6">
        <v>36437309</v>
      </c>
    </row>
    <row r="78" spans="1:7">
      <c r="A78" s="6">
        <v>19</v>
      </c>
      <c r="B78" s="6">
        <v>5933272</v>
      </c>
      <c r="C78" s="6">
        <v>9066728</v>
      </c>
      <c r="D78" s="6">
        <v>1.53</v>
      </c>
      <c r="E78" s="6">
        <v>1.3226</v>
      </c>
      <c r="F78" s="6">
        <v>199749607</v>
      </c>
      <c r="G78" s="6">
        <v>32660657</v>
      </c>
    </row>
    <row r="79" spans="1:7">
      <c r="A79" s="6">
        <v>20</v>
      </c>
      <c r="B79" s="6">
        <v>5344473</v>
      </c>
      <c r="C79" s="6">
        <v>9655527</v>
      </c>
      <c r="D79" s="6">
        <v>1.81</v>
      </c>
      <c r="E79" s="6">
        <v>1.3702000000000001</v>
      </c>
      <c r="F79" s="6">
        <v>186818630</v>
      </c>
      <c r="G79" s="6">
        <v>27769399</v>
      </c>
    </row>
    <row r="80" spans="1:7">
      <c r="A80" s="6">
        <v>21</v>
      </c>
      <c r="B80" s="6">
        <v>4726088</v>
      </c>
      <c r="C80" s="6">
        <v>10273912</v>
      </c>
      <c r="D80" s="6">
        <v>2.17</v>
      </c>
      <c r="E80" s="6">
        <v>1.3572</v>
      </c>
      <c r="F80" s="6">
        <v>156681692</v>
      </c>
      <c r="G80" s="6">
        <v>21172487</v>
      </c>
    </row>
    <row r="81" spans="1:7">
      <c r="A81" s="6">
        <v>22</v>
      </c>
      <c r="B81" s="6">
        <v>4397335</v>
      </c>
      <c r="C81" s="6">
        <v>10602665</v>
      </c>
      <c r="D81" s="6">
        <v>2.41</v>
      </c>
      <c r="E81" s="6">
        <v>1.4739</v>
      </c>
      <c r="F81" s="6">
        <v>166104460</v>
      </c>
      <c r="G81" s="6">
        <v>20405264</v>
      </c>
    </row>
    <row r="82" spans="1:7">
      <c r="A82" s="6">
        <v>23</v>
      </c>
      <c r="B82" s="6">
        <v>4008073</v>
      </c>
      <c r="C82" s="6">
        <v>10991927</v>
      </c>
      <c r="D82" s="6">
        <v>2.74</v>
      </c>
      <c r="E82" s="6">
        <v>1.6413</v>
      </c>
      <c r="F82" s="6">
        <v>178086163</v>
      </c>
      <c r="G82" s="6">
        <v>19888335</v>
      </c>
    </row>
    <row r="83" spans="1:7">
      <c r="A83" s="6">
        <v>24</v>
      </c>
      <c r="B83" s="6">
        <v>3537167</v>
      </c>
      <c r="C83" s="6">
        <v>11462833</v>
      </c>
      <c r="D83" s="6">
        <v>3.24</v>
      </c>
      <c r="E83" s="6">
        <v>1.8793</v>
      </c>
      <c r="F83" s="6">
        <v>190344238</v>
      </c>
      <c r="G83" s="6">
        <v>19324813</v>
      </c>
    </row>
    <row r="84" spans="1:7">
      <c r="A84" s="6">
        <v>25</v>
      </c>
      <c r="B84" s="6">
        <v>4689461</v>
      </c>
      <c r="C84" s="6">
        <v>10310539</v>
      </c>
      <c r="D84" s="6">
        <v>2.2000000000000002</v>
      </c>
      <c r="E84" s="6">
        <v>2.012</v>
      </c>
      <c r="F84" s="6">
        <v>297177378</v>
      </c>
      <c r="G84" s="6">
        <v>27428283</v>
      </c>
    </row>
    <row r="85" spans="1:7">
      <c r="A85" s="6">
        <v>26</v>
      </c>
      <c r="B85" s="6">
        <v>5718682</v>
      </c>
      <c r="C85" s="6">
        <v>9281318</v>
      </c>
      <c r="D85" s="6">
        <v>1.62</v>
      </c>
      <c r="E85" s="6">
        <v>1.7594000000000001</v>
      </c>
      <c r="F85" s="6">
        <v>306364584</v>
      </c>
      <c r="G85" s="6">
        <v>25705659</v>
      </c>
    </row>
    <row r="86" spans="1:7">
      <c r="A86" s="6">
        <v>27</v>
      </c>
      <c r="B86" s="6">
        <v>2416420</v>
      </c>
      <c r="C86" s="6">
        <v>3753820</v>
      </c>
      <c r="D86" s="6">
        <v>1.55</v>
      </c>
      <c r="E86" s="6">
        <v>3.0049999999999999</v>
      </c>
      <c r="F86" s="6">
        <v>269297317</v>
      </c>
      <c r="G86" s="6">
        <v>21726780</v>
      </c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0"/>
  <sheetViews>
    <sheetView workbookViewId="0">
      <selection sqref="A1:XFD1048576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13800000</v>
      </c>
      <c r="C2" s="6">
        <v>8224987</v>
      </c>
      <c r="D2">
        <f>C2/2.5</f>
        <v>3289994.8</v>
      </c>
      <c r="E2">
        <f>(D2/60)/10000</f>
        <v>5.4833246666666664</v>
      </c>
      <c r="F2">
        <f>(B2*2)/1000000</f>
        <v>27.6</v>
      </c>
      <c r="G2">
        <f>IFERROR(B2+C2,0)</f>
        <v>22024987</v>
      </c>
      <c r="H2">
        <f>SUM($G$2:G2)</f>
        <v>22024987</v>
      </c>
      <c r="I2">
        <f>((H2/2.5)/48)/10000</f>
        <v>18.354155833333333</v>
      </c>
      <c r="J2">
        <f>I2+F2+E2</f>
        <v>51.437480499999999</v>
      </c>
      <c r="K2">
        <f>A2*J2</f>
        <v>51.437480499999999</v>
      </c>
    </row>
    <row r="3" spans="1:11">
      <c r="A3">
        <v>2</v>
      </c>
      <c r="B3" s="6">
        <v>13800000</v>
      </c>
      <c r="C3" s="6">
        <v>8565552</v>
      </c>
      <c r="D3">
        <f t="shared" ref="D3:D28" si="0">C3/2.5</f>
        <v>3426220.8</v>
      </c>
      <c r="E3">
        <f t="shared" ref="E3:E28" si="1">(D3/60)/10000</f>
        <v>5.7103679999999999</v>
      </c>
      <c r="F3">
        <f t="shared" ref="F3:F34" si="2">(B3*2)/1000000</f>
        <v>27.6</v>
      </c>
      <c r="G3">
        <f>IFERROR(B3+C3,0)</f>
        <v>22365552</v>
      </c>
      <c r="H3">
        <f>SUM($G$2:G3)</f>
        <v>44390539</v>
      </c>
      <c r="I3">
        <f t="shared" ref="I3:I28" si="3">((H3/2.5)/48)/10000</f>
        <v>36.992115833333337</v>
      </c>
      <c r="J3">
        <f t="shared" ref="J3:J28" si="4">I3+F3+E3</f>
        <v>70.302483833333341</v>
      </c>
      <c r="K3">
        <f t="shared" ref="K3:K28" si="5">A3*J3</f>
        <v>140.60496766666668</v>
      </c>
    </row>
    <row r="4" spans="1:11">
      <c r="A4">
        <v>3</v>
      </c>
      <c r="B4" s="6">
        <v>13155272</v>
      </c>
      <c r="C4" s="6">
        <v>9344728</v>
      </c>
      <c r="D4">
        <f t="shared" si="0"/>
        <v>3737891.2</v>
      </c>
      <c r="E4">
        <f t="shared" si="1"/>
        <v>6.2298186666666666</v>
      </c>
      <c r="F4">
        <f t="shared" si="2"/>
        <v>26.310544</v>
      </c>
      <c r="G4">
        <f>IFERROR(B4+C4,0)</f>
        <v>22500000</v>
      </c>
      <c r="H4">
        <f>SUM($G$2:G4)</f>
        <v>66890539</v>
      </c>
      <c r="I4">
        <f t="shared" si="3"/>
        <v>55.74211583333333</v>
      </c>
      <c r="J4">
        <f t="shared" si="4"/>
        <v>88.282478499999996</v>
      </c>
      <c r="K4">
        <f t="shared" si="5"/>
        <v>264.84743549999996</v>
      </c>
    </row>
    <row r="5" spans="1:11">
      <c r="A5">
        <v>4</v>
      </c>
      <c r="B5" s="6">
        <v>12006069</v>
      </c>
      <c r="C5" s="6">
        <v>10493931</v>
      </c>
      <c r="D5">
        <f t="shared" si="0"/>
        <v>4197572.4000000004</v>
      </c>
      <c r="E5">
        <f t="shared" si="1"/>
        <v>6.9959540000000011</v>
      </c>
      <c r="F5">
        <f t="shared" si="2"/>
        <v>24.012138</v>
      </c>
      <c r="G5">
        <f>IFERROR(B5+C5,0)</f>
        <v>22500000</v>
      </c>
      <c r="H5">
        <f>SUM($G$2:G5)</f>
        <v>89390539</v>
      </c>
      <c r="I5">
        <f t="shared" si="3"/>
        <v>74.49211583333333</v>
      </c>
      <c r="J5">
        <f t="shared" si="4"/>
        <v>105.50020783333333</v>
      </c>
      <c r="K5">
        <f t="shared" si="5"/>
        <v>422.00083133333334</v>
      </c>
    </row>
    <row r="6" spans="1:11">
      <c r="A6">
        <v>5</v>
      </c>
      <c r="B6" s="6">
        <v>13800000</v>
      </c>
      <c r="C6" s="6">
        <v>8614764</v>
      </c>
      <c r="D6">
        <f t="shared" si="0"/>
        <v>3445905.6</v>
      </c>
      <c r="E6">
        <f t="shared" si="1"/>
        <v>5.7431760000000001</v>
      </c>
      <c r="F6">
        <f t="shared" si="2"/>
        <v>27.6</v>
      </c>
      <c r="G6">
        <f>IFERROR(B6+C6,0)</f>
        <v>22414764</v>
      </c>
      <c r="H6">
        <f>SUM($G$2:G6)</f>
        <v>111805303</v>
      </c>
      <c r="I6">
        <f t="shared" si="3"/>
        <v>93.171085833333336</v>
      </c>
      <c r="J6">
        <f t="shared" si="4"/>
        <v>126.51426183333334</v>
      </c>
      <c r="K6">
        <f t="shared" si="5"/>
        <v>632.57130916666665</v>
      </c>
    </row>
    <row r="7" spans="1:11">
      <c r="A7">
        <v>6</v>
      </c>
      <c r="B7" s="6">
        <v>13800000</v>
      </c>
      <c r="C7" s="6">
        <v>7060122</v>
      </c>
      <c r="D7">
        <f t="shared" si="0"/>
        <v>2824048.8</v>
      </c>
      <c r="E7">
        <f t="shared" si="1"/>
        <v>4.7067479999999993</v>
      </c>
      <c r="F7">
        <f t="shared" si="2"/>
        <v>27.6</v>
      </c>
      <c r="G7">
        <f>IFERROR(B7+C7,0)</f>
        <v>20860122</v>
      </c>
      <c r="H7">
        <f>SUM($G$2:G7)</f>
        <v>132665425</v>
      </c>
      <c r="I7">
        <f t="shared" si="3"/>
        <v>110.55452083333333</v>
      </c>
      <c r="J7">
        <f t="shared" si="4"/>
        <v>142.86126883333333</v>
      </c>
      <c r="K7">
        <f t="shared" si="5"/>
        <v>857.16761299999996</v>
      </c>
    </row>
    <row r="8" spans="1:11">
      <c r="A8">
        <v>7</v>
      </c>
      <c r="B8" s="6">
        <v>13800000</v>
      </c>
      <c r="C8" s="6">
        <v>7400307</v>
      </c>
      <c r="D8">
        <f t="shared" si="0"/>
        <v>2960122.8</v>
      </c>
      <c r="E8">
        <f t="shared" si="1"/>
        <v>4.9335379999999995</v>
      </c>
      <c r="F8">
        <f t="shared" si="2"/>
        <v>27.6</v>
      </c>
      <c r="G8">
        <f>IFERROR(B8+C8,0)</f>
        <v>21200307</v>
      </c>
      <c r="H8">
        <f>SUM($G$2:G8)</f>
        <v>153865732</v>
      </c>
      <c r="I8">
        <f t="shared" si="3"/>
        <v>128.22144333333333</v>
      </c>
      <c r="J8">
        <f t="shared" si="4"/>
        <v>160.75498133333332</v>
      </c>
      <c r="K8">
        <f t="shared" si="5"/>
        <v>1125.2848693333333</v>
      </c>
    </row>
    <row r="9" spans="1:11">
      <c r="A9">
        <v>8</v>
      </c>
      <c r="B9" s="6">
        <v>13800000</v>
      </c>
      <c r="C9" s="6">
        <v>8536102</v>
      </c>
      <c r="D9">
        <f t="shared" si="0"/>
        <v>3414440.8</v>
      </c>
      <c r="E9">
        <f t="shared" si="1"/>
        <v>5.6907346666666667</v>
      </c>
      <c r="F9">
        <f t="shared" si="2"/>
        <v>27.6</v>
      </c>
      <c r="G9">
        <f>IFERROR(B9+C9,0)</f>
        <v>22336102</v>
      </c>
      <c r="H9">
        <f>SUM($G$2:G9)</f>
        <v>176201834</v>
      </c>
      <c r="I9">
        <f t="shared" si="3"/>
        <v>146.83486166666665</v>
      </c>
      <c r="J9">
        <f t="shared" si="4"/>
        <v>180.12559633333331</v>
      </c>
      <c r="K9">
        <f t="shared" si="5"/>
        <v>1441.0047706666664</v>
      </c>
    </row>
    <row r="10" spans="1:11">
      <c r="A10">
        <v>9</v>
      </c>
      <c r="B10" s="6">
        <v>13800000</v>
      </c>
      <c r="C10" s="6">
        <v>8650023</v>
      </c>
      <c r="D10">
        <f t="shared" si="0"/>
        <v>3460009.2</v>
      </c>
      <c r="E10">
        <f t="shared" si="1"/>
        <v>5.7666820000000003</v>
      </c>
      <c r="F10">
        <f t="shared" si="2"/>
        <v>27.6</v>
      </c>
      <c r="G10">
        <f>IFERROR(B10+C10,0)</f>
        <v>22450023</v>
      </c>
      <c r="H10">
        <f>SUM($G$2:G10)</f>
        <v>198651857</v>
      </c>
      <c r="I10">
        <f t="shared" si="3"/>
        <v>165.54321416666667</v>
      </c>
      <c r="J10">
        <f t="shared" si="4"/>
        <v>198.90989616666667</v>
      </c>
      <c r="K10">
        <f t="shared" si="5"/>
        <v>1790.1890655</v>
      </c>
    </row>
    <row r="11" spans="1:11">
      <c r="A11">
        <v>10</v>
      </c>
      <c r="B11" s="6">
        <v>11552588</v>
      </c>
      <c r="C11" s="6">
        <v>10947412</v>
      </c>
      <c r="D11">
        <f t="shared" si="0"/>
        <v>4378964.8</v>
      </c>
      <c r="E11">
        <f t="shared" si="1"/>
        <v>7.298274666666666</v>
      </c>
      <c r="F11">
        <f t="shared" si="2"/>
        <v>23.105176</v>
      </c>
      <c r="G11">
        <f>IFERROR(B11+C11,0)</f>
        <v>22500000</v>
      </c>
      <c r="H11">
        <f>SUM($G$2:G11)</f>
        <v>221151857</v>
      </c>
      <c r="I11">
        <f t="shared" si="3"/>
        <v>184.29321416666667</v>
      </c>
      <c r="J11">
        <f t="shared" si="4"/>
        <v>214.69666483333333</v>
      </c>
      <c r="K11">
        <f t="shared" si="5"/>
        <v>2146.9666483333331</v>
      </c>
    </row>
    <row r="12" spans="1:11">
      <c r="A12">
        <v>11</v>
      </c>
      <c r="B12" s="6">
        <v>10005866</v>
      </c>
      <c r="C12" s="6">
        <v>12494134</v>
      </c>
      <c r="D12">
        <f t="shared" si="0"/>
        <v>4997653.5999999996</v>
      </c>
      <c r="E12">
        <f t="shared" si="1"/>
        <v>8.329422666666666</v>
      </c>
      <c r="F12">
        <f t="shared" si="2"/>
        <v>20.011731999999999</v>
      </c>
      <c r="G12">
        <f>IFERROR(B12+C12,0)</f>
        <v>22500000</v>
      </c>
      <c r="H12">
        <f>SUM($G$2:G12)</f>
        <v>243651857</v>
      </c>
      <c r="I12">
        <f t="shared" si="3"/>
        <v>203.04321416666667</v>
      </c>
      <c r="J12">
        <f t="shared" si="4"/>
        <v>231.38436883333333</v>
      </c>
      <c r="K12">
        <f t="shared" si="5"/>
        <v>2545.2280571666665</v>
      </c>
    </row>
    <row r="13" spans="1:11">
      <c r="A13">
        <v>12</v>
      </c>
      <c r="B13" s="6">
        <v>8094806</v>
      </c>
      <c r="C13" s="6">
        <v>14405194</v>
      </c>
      <c r="D13">
        <f t="shared" si="0"/>
        <v>5762077.5999999996</v>
      </c>
      <c r="E13">
        <f t="shared" si="1"/>
        <v>9.6034626666666671</v>
      </c>
      <c r="F13">
        <f t="shared" si="2"/>
        <v>16.189612</v>
      </c>
      <c r="G13">
        <f>IFERROR(B13+C13,0)</f>
        <v>22500000</v>
      </c>
      <c r="H13">
        <f>SUM($G$2:G13)</f>
        <v>266151857</v>
      </c>
      <c r="I13">
        <f t="shared" si="3"/>
        <v>221.79321416666667</v>
      </c>
      <c r="J13">
        <f t="shared" si="4"/>
        <v>247.58628883333336</v>
      </c>
      <c r="K13">
        <f t="shared" si="5"/>
        <v>2971.0354660000003</v>
      </c>
    </row>
    <row r="14" spans="1:11">
      <c r="A14">
        <v>13</v>
      </c>
      <c r="B14" s="6">
        <v>8358708</v>
      </c>
      <c r="C14" s="6">
        <v>14141292</v>
      </c>
      <c r="D14">
        <f t="shared" si="0"/>
        <v>5656516.7999999998</v>
      </c>
      <c r="E14">
        <f t="shared" si="1"/>
        <v>9.4275280000000006</v>
      </c>
      <c r="F14">
        <f t="shared" si="2"/>
        <v>16.717416</v>
      </c>
      <c r="G14">
        <f>IFERROR(B14+C14,0)</f>
        <v>22500000</v>
      </c>
      <c r="H14">
        <f>SUM($G$2:G14)</f>
        <v>288651857</v>
      </c>
      <c r="I14">
        <f t="shared" si="3"/>
        <v>240.54321416666667</v>
      </c>
      <c r="J14">
        <f t="shared" si="4"/>
        <v>266.68815816666665</v>
      </c>
      <c r="K14">
        <f t="shared" si="5"/>
        <v>3466.9460561666665</v>
      </c>
    </row>
    <row r="15" spans="1:11">
      <c r="A15">
        <v>14</v>
      </c>
      <c r="B15" s="6">
        <v>8726553</v>
      </c>
      <c r="C15" s="6">
        <v>13773447</v>
      </c>
      <c r="D15">
        <f t="shared" si="0"/>
        <v>5509378.7999999998</v>
      </c>
      <c r="E15">
        <f t="shared" si="1"/>
        <v>9.1822979999999994</v>
      </c>
      <c r="F15">
        <f t="shared" si="2"/>
        <v>17.453105999999998</v>
      </c>
      <c r="G15">
        <f>IFERROR(B15+C15,0)</f>
        <v>22500000</v>
      </c>
      <c r="H15">
        <f>SUM($G$2:G15)</f>
        <v>311151857</v>
      </c>
      <c r="I15">
        <f t="shared" si="3"/>
        <v>259.29321416666664</v>
      </c>
      <c r="J15">
        <f t="shared" si="4"/>
        <v>285.92861816666664</v>
      </c>
      <c r="K15">
        <f t="shared" si="5"/>
        <v>4003.0006543333329</v>
      </c>
    </row>
    <row r="16" spans="1:11">
      <c r="A16">
        <v>15</v>
      </c>
      <c r="B16" s="6">
        <v>8186964</v>
      </c>
      <c r="C16" s="6">
        <v>14313036</v>
      </c>
      <c r="D16">
        <f t="shared" si="0"/>
        <v>5725214.4000000004</v>
      </c>
      <c r="E16">
        <f t="shared" si="1"/>
        <v>9.5420240000000014</v>
      </c>
      <c r="F16">
        <f t="shared" si="2"/>
        <v>16.373927999999999</v>
      </c>
      <c r="G16">
        <f>IFERROR(B16+C16,0)</f>
        <v>22500000</v>
      </c>
      <c r="H16">
        <f>SUM($G$2:G16)</f>
        <v>333651857</v>
      </c>
      <c r="I16">
        <f t="shared" si="3"/>
        <v>278.04321416666664</v>
      </c>
      <c r="J16">
        <f t="shared" si="4"/>
        <v>303.95916616666665</v>
      </c>
      <c r="K16">
        <f t="shared" si="5"/>
        <v>4559.3874925</v>
      </c>
    </row>
    <row r="17" spans="1:11">
      <c r="A17">
        <v>16</v>
      </c>
      <c r="B17" s="6">
        <v>7307165</v>
      </c>
      <c r="C17" s="6">
        <v>15192835</v>
      </c>
      <c r="D17">
        <f t="shared" si="0"/>
        <v>6077134</v>
      </c>
      <c r="E17">
        <f t="shared" si="1"/>
        <v>10.128556666666666</v>
      </c>
      <c r="F17">
        <f t="shared" si="2"/>
        <v>14.614330000000001</v>
      </c>
      <c r="G17">
        <f>IFERROR(B17+C17,0)</f>
        <v>22500000</v>
      </c>
      <c r="H17">
        <f>SUM($G$2:G17)</f>
        <v>356151857</v>
      </c>
      <c r="I17">
        <f t="shared" si="3"/>
        <v>296.7932141666667</v>
      </c>
      <c r="J17">
        <f t="shared" si="4"/>
        <v>321.53610083333336</v>
      </c>
      <c r="K17">
        <f t="shared" si="5"/>
        <v>5144.5776133333338</v>
      </c>
    </row>
    <row r="18" spans="1:11">
      <c r="A18">
        <v>17</v>
      </c>
      <c r="B18" s="6">
        <v>7056596</v>
      </c>
      <c r="C18" s="6">
        <v>15443404</v>
      </c>
      <c r="D18">
        <f t="shared" si="0"/>
        <v>6177361.5999999996</v>
      </c>
      <c r="E18">
        <f t="shared" si="1"/>
        <v>10.295602666666666</v>
      </c>
      <c r="F18">
        <f t="shared" si="2"/>
        <v>14.113192</v>
      </c>
      <c r="G18">
        <f>IFERROR(B18+C18,0)</f>
        <v>22500000</v>
      </c>
      <c r="H18">
        <f>SUM($G$2:G18)</f>
        <v>378651857</v>
      </c>
      <c r="I18">
        <f t="shared" si="3"/>
        <v>315.5432141666667</v>
      </c>
      <c r="J18">
        <f t="shared" si="4"/>
        <v>339.95200883333337</v>
      </c>
      <c r="K18">
        <f t="shared" si="5"/>
        <v>5779.1841501666677</v>
      </c>
    </row>
    <row r="19" spans="1:11">
      <c r="A19">
        <v>18</v>
      </c>
      <c r="B19" s="6">
        <v>6875072</v>
      </c>
      <c r="C19" s="6">
        <v>15624928</v>
      </c>
      <c r="D19">
        <f t="shared" si="0"/>
        <v>6249971.2000000002</v>
      </c>
      <c r="E19">
        <f t="shared" si="1"/>
        <v>10.416618666666668</v>
      </c>
      <c r="F19">
        <f t="shared" si="2"/>
        <v>13.750144000000001</v>
      </c>
      <c r="G19">
        <f>IFERROR(B19+C19,0)</f>
        <v>22500000</v>
      </c>
      <c r="H19">
        <f>SUM($G$2:G19)</f>
        <v>401151857</v>
      </c>
      <c r="I19">
        <f t="shared" si="3"/>
        <v>334.2932141666667</v>
      </c>
      <c r="J19">
        <f t="shared" si="4"/>
        <v>358.45997683333337</v>
      </c>
      <c r="K19">
        <f t="shared" si="5"/>
        <v>6452.2795830000005</v>
      </c>
    </row>
    <row r="20" spans="1:11">
      <c r="A20">
        <v>19</v>
      </c>
      <c r="B20" s="6">
        <v>6210569</v>
      </c>
      <c r="C20" s="6">
        <v>16289431</v>
      </c>
      <c r="D20">
        <f t="shared" si="0"/>
        <v>6515772.4000000004</v>
      </c>
      <c r="E20">
        <f t="shared" si="1"/>
        <v>10.859620666666668</v>
      </c>
      <c r="F20">
        <f t="shared" si="2"/>
        <v>12.421137999999999</v>
      </c>
      <c r="G20">
        <f>IFERROR(B20+C20,0)</f>
        <v>22500000</v>
      </c>
      <c r="H20">
        <f>SUM($G$2:G20)</f>
        <v>423651857</v>
      </c>
      <c r="I20">
        <f t="shared" si="3"/>
        <v>353.0432141666667</v>
      </c>
      <c r="J20">
        <f t="shared" si="4"/>
        <v>376.32397283333336</v>
      </c>
      <c r="K20">
        <f t="shared" si="5"/>
        <v>7150.1554838333341</v>
      </c>
    </row>
    <row r="21" spans="1:11">
      <c r="A21">
        <v>20</v>
      </c>
      <c r="B21" s="6">
        <v>7699088</v>
      </c>
      <c r="C21" s="6">
        <v>14800912</v>
      </c>
      <c r="D21">
        <f t="shared" si="0"/>
        <v>5920364.7999999998</v>
      </c>
      <c r="E21">
        <f t="shared" si="1"/>
        <v>9.8672746666666651</v>
      </c>
      <c r="F21">
        <f t="shared" si="2"/>
        <v>15.398175999999999</v>
      </c>
      <c r="G21">
        <f>IFERROR(B21+C21,0)</f>
        <v>22500000</v>
      </c>
      <c r="H21">
        <f>SUM($G$2:G21)</f>
        <v>446151857</v>
      </c>
      <c r="I21">
        <f t="shared" si="3"/>
        <v>371.7932141666667</v>
      </c>
      <c r="J21">
        <f t="shared" si="4"/>
        <v>397.05866483333335</v>
      </c>
      <c r="K21">
        <f t="shared" si="5"/>
        <v>7941.1732966666668</v>
      </c>
    </row>
    <row r="22" spans="1:11">
      <c r="A22">
        <v>21</v>
      </c>
      <c r="B22" s="6">
        <v>5621326</v>
      </c>
      <c r="C22" s="6">
        <v>8553217</v>
      </c>
      <c r="D22">
        <f t="shared" si="0"/>
        <v>3421286.8</v>
      </c>
      <c r="E22">
        <f t="shared" si="1"/>
        <v>5.7021446666666664</v>
      </c>
      <c r="F22">
        <f t="shared" si="2"/>
        <v>11.242652</v>
      </c>
      <c r="G22">
        <f>IFERROR(B22+C22,0)</f>
        <v>14174543</v>
      </c>
      <c r="H22">
        <f>SUM($G$2:G22)</f>
        <v>460326400</v>
      </c>
      <c r="I22">
        <f t="shared" si="3"/>
        <v>383.60533333333336</v>
      </c>
      <c r="J22">
        <f t="shared" si="4"/>
        <v>400.55013000000002</v>
      </c>
      <c r="K22">
        <f t="shared" si="5"/>
        <v>8411.5527300000012</v>
      </c>
    </row>
    <row r="23" spans="1:11">
      <c r="B23" s="6"/>
      <c r="C23" s="6"/>
    </row>
    <row r="24" spans="1:11">
      <c r="B24" s="6"/>
      <c r="C24" s="6"/>
    </row>
    <row r="25" spans="1:11">
      <c r="B25" s="6"/>
      <c r="C25" s="6"/>
    </row>
    <row r="26" spans="1:11">
      <c r="B26" s="6"/>
      <c r="C26" s="6"/>
    </row>
    <row r="27" spans="1:11">
      <c r="B27" s="6"/>
      <c r="C27" s="6"/>
    </row>
    <row r="28" spans="1:11">
      <c r="B28" s="6"/>
      <c r="C28" s="6"/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242869758</v>
      </c>
    </row>
    <row r="37" spans="1:10">
      <c r="H37" s="14" t="s">
        <v>37</v>
      </c>
      <c r="I37" t="s">
        <v>2</v>
      </c>
      <c r="J37" s="15">
        <f>MAX(K2:K33)</f>
        <v>8411.5527300000012</v>
      </c>
    </row>
    <row r="38" spans="1:10">
      <c r="I38" t="s">
        <v>3</v>
      </c>
      <c r="J38" s="15">
        <f>MAX(J2:J33)</f>
        <v>400.55013000000002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>
        <v>1</v>
      </c>
      <c r="B60" s="6">
        <v>13800000</v>
      </c>
      <c r="C60" s="6">
        <v>8224987</v>
      </c>
      <c r="D60" s="6">
        <v>0.6</v>
      </c>
      <c r="E60" s="6">
        <v>2.1497999999999999</v>
      </c>
      <c r="F60" s="6">
        <v>1035081308</v>
      </c>
      <c r="G60" s="6">
        <v>940983007</v>
      </c>
    </row>
    <row r="61" spans="1:9">
      <c r="A61" s="6">
        <v>2</v>
      </c>
      <c r="B61" s="6">
        <v>13800000</v>
      </c>
      <c r="C61" s="6">
        <v>8565552</v>
      </c>
      <c r="D61" s="6">
        <v>0.62</v>
      </c>
      <c r="E61" s="6">
        <v>1.9080999999999999</v>
      </c>
      <c r="F61" s="6">
        <v>879612883</v>
      </c>
      <c r="G61" s="6">
        <v>726952796</v>
      </c>
    </row>
    <row r="62" spans="1:9">
      <c r="A62" s="6">
        <v>3</v>
      </c>
      <c r="B62" s="6">
        <v>13155272</v>
      </c>
      <c r="C62" s="6">
        <v>9344728</v>
      </c>
      <c r="D62" s="6">
        <v>0.71</v>
      </c>
      <c r="E62" s="6">
        <v>2.4557000000000002</v>
      </c>
      <c r="F62" s="6">
        <v>1168066478</v>
      </c>
      <c r="G62" s="6">
        <v>877585633</v>
      </c>
    </row>
    <row r="63" spans="1:9">
      <c r="A63" s="6">
        <v>4</v>
      </c>
      <c r="B63" s="6">
        <v>12006069</v>
      </c>
      <c r="C63" s="6">
        <v>10493931</v>
      </c>
      <c r="D63" s="6">
        <v>0.87</v>
      </c>
      <c r="E63" s="6">
        <v>2.4849000000000001</v>
      </c>
      <c r="F63" s="6">
        <v>1075784862</v>
      </c>
      <c r="G63" s="6">
        <v>734775536</v>
      </c>
    </row>
    <row r="64" spans="1:9">
      <c r="A64" s="6">
        <v>5</v>
      </c>
      <c r="B64" s="6">
        <v>13800000</v>
      </c>
      <c r="C64" s="6">
        <v>8614764</v>
      </c>
      <c r="D64" s="6">
        <v>0.62</v>
      </c>
      <c r="E64" s="6">
        <v>2.4649000000000001</v>
      </c>
      <c r="F64" s="6">
        <v>1235069425</v>
      </c>
      <c r="G64" s="6">
        <v>766880942</v>
      </c>
    </row>
    <row r="65" spans="1:7">
      <c r="A65" s="6">
        <v>6</v>
      </c>
      <c r="B65" s="6">
        <v>13800000</v>
      </c>
      <c r="C65" s="6">
        <v>7060122</v>
      </c>
      <c r="D65" s="6">
        <v>0.51</v>
      </c>
      <c r="E65" s="6">
        <v>2.3601000000000001</v>
      </c>
      <c r="F65" s="6">
        <v>1173221268</v>
      </c>
      <c r="G65" s="6">
        <v>662252820</v>
      </c>
    </row>
    <row r="66" spans="1:7">
      <c r="A66" s="6">
        <v>7</v>
      </c>
      <c r="B66" s="6">
        <v>13800000</v>
      </c>
      <c r="C66" s="6">
        <v>7400307</v>
      </c>
      <c r="D66" s="6">
        <v>0.54</v>
      </c>
      <c r="E66" s="6">
        <v>2.3851</v>
      </c>
      <c r="F66" s="6">
        <v>1188072851</v>
      </c>
      <c r="G66" s="6">
        <v>609669228</v>
      </c>
    </row>
    <row r="67" spans="1:7">
      <c r="A67" s="6">
        <v>8</v>
      </c>
      <c r="B67" s="6">
        <v>13800000</v>
      </c>
      <c r="C67" s="6">
        <v>8536102</v>
      </c>
      <c r="D67" s="6">
        <v>0.62</v>
      </c>
      <c r="E67" s="6">
        <v>2.4897</v>
      </c>
      <c r="F67" s="6">
        <v>1251161703</v>
      </c>
      <c r="G67" s="6">
        <v>583676168</v>
      </c>
    </row>
    <row r="68" spans="1:7">
      <c r="A68" s="6">
        <v>9</v>
      </c>
      <c r="B68" s="6">
        <v>13800000</v>
      </c>
      <c r="C68" s="6">
        <v>8650023</v>
      </c>
      <c r="D68" s="6">
        <v>0.63</v>
      </c>
      <c r="E68" s="6">
        <v>2.9918</v>
      </c>
      <c r="F68" s="6">
        <v>1571417848</v>
      </c>
      <c r="G68" s="6">
        <v>666434567</v>
      </c>
    </row>
    <row r="69" spans="1:7">
      <c r="A69" s="6">
        <v>10</v>
      </c>
      <c r="B69" s="6">
        <v>11552588</v>
      </c>
      <c r="C69" s="6">
        <v>10947412</v>
      </c>
      <c r="D69" s="6">
        <v>0.95</v>
      </c>
      <c r="E69" s="6">
        <v>0.99380000000000002</v>
      </c>
      <c r="F69" s="6">
        <v>235160510</v>
      </c>
      <c r="G69" s="6">
        <v>90664556</v>
      </c>
    </row>
    <row r="70" spans="1:7">
      <c r="A70" s="6">
        <v>11</v>
      </c>
      <c r="B70" s="6">
        <v>10005866</v>
      </c>
      <c r="C70" s="6">
        <v>12494134</v>
      </c>
      <c r="D70" s="6">
        <v>1.25</v>
      </c>
      <c r="E70" s="6">
        <v>1.1968000000000001</v>
      </c>
      <c r="F70" s="6">
        <v>287788396</v>
      </c>
      <c r="G70" s="6">
        <v>100868077</v>
      </c>
    </row>
    <row r="71" spans="1:7">
      <c r="A71" s="6">
        <v>12</v>
      </c>
      <c r="B71" s="6">
        <v>8094806</v>
      </c>
      <c r="C71" s="6">
        <v>14405194</v>
      </c>
      <c r="D71" s="6">
        <v>1.78</v>
      </c>
      <c r="E71" s="6">
        <v>1.1024</v>
      </c>
      <c r="F71" s="6">
        <v>183359225</v>
      </c>
      <c r="G71" s="6">
        <v>58423900</v>
      </c>
    </row>
    <row r="72" spans="1:7">
      <c r="A72" s="6">
        <v>13</v>
      </c>
      <c r="B72" s="6">
        <v>8358708</v>
      </c>
      <c r="C72" s="6">
        <v>14141292</v>
      </c>
      <c r="D72" s="6">
        <v>1.69</v>
      </c>
      <c r="E72" s="6">
        <v>1.1653</v>
      </c>
      <c r="F72" s="6">
        <v>216074161</v>
      </c>
      <c r="G72" s="6">
        <v>62588988</v>
      </c>
    </row>
    <row r="73" spans="1:7">
      <c r="A73" s="6">
        <v>14</v>
      </c>
      <c r="B73" s="6">
        <v>8726553</v>
      </c>
      <c r="C73" s="6">
        <v>13773447</v>
      </c>
      <c r="D73" s="6">
        <v>1.58</v>
      </c>
      <c r="E73" s="6">
        <v>1.2245999999999999</v>
      </c>
      <c r="F73" s="6">
        <v>252780507</v>
      </c>
      <c r="G73" s="6">
        <v>66565008</v>
      </c>
    </row>
    <row r="74" spans="1:7">
      <c r="A74" s="6">
        <v>15</v>
      </c>
      <c r="B74" s="6">
        <v>8186964</v>
      </c>
      <c r="C74" s="6">
        <v>14313036</v>
      </c>
      <c r="D74" s="6">
        <v>1.75</v>
      </c>
      <c r="E74" s="6">
        <v>1.2609999999999999</v>
      </c>
      <c r="F74" s="6">
        <v>246366024</v>
      </c>
      <c r="G74" s="6">
        <v>58978067</v>
      </c>
    </row>
    <row r="75" spans="1:7">
      <c r="A75" s="6">
        <v>16</v>
      </c>
      <c r="B75" s="6">
        <v>7307165</v>
      </c>
      <c r="C75" s="6">
        <v>15192835</v>
      </c>
      <c r="D75" s="6">
        <v>2.08</v>
      </c>
      <c r="E75" s="6">
        <v>1.2777000000000001</v>
      </c>
      <c r="F75" s="6">
        <v>217618493</v>
      </c>
      <c r="G75" s="6">
        <v>47360125</v>
      </c>
    </row>
    <row r="76" spans="1:7">
      <c r="A76" s="6">
        <v>17</v>
      </c>
      <c r="B76" s="6">
        <v>7056596</v>
      </c>
      <c r="C76" s="6">
        <v>15443404</v>
      </c>
      <c r="D76" s="6">
        <v>2.19</v>
      </c>
      <c r="E76" s="6">
        <v>1.3552</v>
      </c>
      <c r="F76" s="6">
        <v>232932879</v>
      </c>
      <c r="G76" s="6">
        <v>46084528</v>
      </c>
    </row>
    <row r="77" spans="1:7">
      <c r="A77" s="6">
        <v>18</v>
      </c>
      <c r="B77" s="6">
        <v>6875072</v>
      </c>
      <c r="C77" s="6">
        <v>15624928</v>
      </c>
      <c r="D77" s="6">
        <v>2.27</v>
      </c>
      <c r="E77" s="6">
        <v>1.5115000000000001</v>
      </c>
      <c r="F77" s="6">
        <v>274782213</v>
      </c>
      <c r="G77" s="6">
        <v>49421996</v>
      </c>
    </row>
    <row r="78" spans="1:7">
      <c r="A78" s="6">
        <v>19</v>
      </c>
      <c r="B78" s="6">
        <v>6210569</v>
      </c>
      <c r="C78" s="6">
        <v>16289431</v>
      </c>
      <c r="D78" s="6">
        <v>2.62</v>
      </c>
      <c r="E78" s="6">
        <v>1.7659</v>
      </c>
      <c r="F78" s="6">
        <v>314191025</v>
      </c>
      <c r="G78" s="6">
        <v>51372743</v>
      </c>
    </row>
    <row r="79" spans="1:7">
      <c r="A79" s="6">
        <v>20</v>
      </c>
      <c r="B79" s="6">
        <v>7699088</v>
      </c>
      <c r="C79" s="6">
        <v>14800912</v>
      </c>
      <c r="D79" s="6">
        <v>1.92</v>
      </c>
      <c r="E79" s="6">
        <v>1.8645</v>
      </c>
      <c r="F79" s="6">
        <v>442335630</v>
      </c>
      <c r="G79" s="6">
        <v>65750373</v>
      </c>
    </row>
    <row r="80" spans="1:7">
      <c r="A80" s="6">
        <v>21</v>
      </c>
      <c r="B80" s="6">
        <v>5621326</v>
      </c>
      <c r="C80" s="6">
        <v>8553217</v>
      </c>
      <c r="D80" s="6">
        <v>1.52</v>
      </c>
      <c r="E80" s="6">
        <v>2.2440000000000002</v>
      </c>
      <c r="F80" s="6">
        <v>429065495</v>
      </c>
      <c r="G80" s="6">
        <v>60061108</v>
      </c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90"/>
  <sheetViews>
    <sheetView workbookViewId="0">
      <selection sqref="A1:XFD1048576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14000000</v>
      </c>
      <c r="C2" s="6">
        <v>8304540</v>
      </c>
      <c r="D2">
        <f>C2/2.5</f>
        <v>3321816</v>
      </c>
      <c r="E2">
        <f>(D2/60)/10000</f>
        <v>5.5363600000000002</v>
      </c>
      <c r="F2">
        <f>(B2*2)/1000000</f>
        <v>28</v>
      </c>
      <c r="G2">
        <f>IFERROR(B2+C2,0)</f>
        <v>22304540</v>
      </c>
      <c r="H2">
        <f>SUM($G$2:G2)</f>
        <v>22304540</v>
      </c>
      <c r="I2">
        <f>((H2/2.5)/49)/10000</f>
        <v>18.207787755102043</v>
      </c>
      <c r="J2">
        <f>I2+F2+E2</f>
        <v>51.744147755102048</v>
      </c>
      <c r="K2">
        <f>A2*J2</f>
        <v>51.744147755102048</v>
      </c>
    </row>
    <row r="3" spans="1:11">
      <c r="A3">
        <v>2</v>
      </c>
      <c r="B3" s="6">
        <v>14000000</v>
      </c>
      <c r="C3" s="6">
        <v>8719935</v>
      </c>
      <c r="D3">
        <f t="shared" ref="D3:D25" si="0">C3/2.5</f>
        <v>3487974</v>
      </c>
      <c r="E3">
        <f t="shared" ref="E3:E25" si="1">(D3/60)/10000</f>
        <v>5.8132900000000003</v>
      </c>
      <c r="F3">
        <f t="shared" ref="F3:F34" si="2">(B3*2)/1000000</f>
        <v>28</v>
      </c>
      <c r="G3">
        <f>IFERROR(B3+C3,0)</f>
        <v>22719935</v>
      </c>
      <c r="H3">
        <f>SUM($G$2:G3)</f>
        <v>45024475</v>
      </c>
      <c r="I3">
        <f t="shared" ref="I3:I25" si="3">((H3/2.5)/49)/10000</f>
        <v>36.754673469387754</v>
      </c>
      <c r="J3">
        <f t="shared" ref="J3:J22" si="4">I3+F3+E3</f>
        <v>70.567963469387749</v>
      </c>
      <c r="K3">
        <f t="shared" ref="K3:K22" si="5">A3*J3</f>
        <v>141.1359269387755</v>
      </c>
    </row>
    <row r="4" spans="1:11">
      <c r="A4">
        <v>3</v>
      </c>
      <c r="B4" s="6">
        <v>13390635</v>
      </c>
      <c r="C4" s="6">
        <v>9609365</v>
      </c>
      <c r="D4">
        <f t="shared" si="0"/>
        <v>3843746</v>
      </c>
      <c r="E4">
        <f t="shared" si="1"/>
        <v>6.4062433333333333</v>
      </c>
      <c r="F4">
        <f t="shared" si="2"/>
        <v>26.781269999999999</v>
      </c>
      <c r="G4">
        <f>IFERROR(B4+C4,0)</f>
        <v>23000000</v>
      </c>
      <c r="H4">
        <f>SUM($G$2:G4)</f>
        <v>68024475</v>
      </c>
      <c r="I4">
        <f t="shared" si="3"/>
        <v>55.530183673469388</v>
      </c>
      <c r="J4">
        <f t="shared" si="4"/>
        <v>88.717697006802723</v>
      </c>
      <c r="K4">
        <f t="shared" si="5"/>
        <v>266.15309102040817</v>
      </c>
    </row>
    <row r="5" spans="1:11">
      <c r="A5">
        <v>4</v>
      </c>
      <c r="B5" s="6">
        <v>12217718</v>
      </c>
      <c r="C5" s="6">
        <v>10782282</v>
      </c>
      <c r="D5">
        <f t="shared" si="0"/>
        <v>4312912.8</v>
      </c>
      <c r="E5">
        <f t="shared" si="1"/>
        <v>7.1881879999999994</v>
      </c>
      <c r="F5">
        <f t="shared" si="2"/>
        <v>24.435435999999999</v>
      </c>
      <c r="G5">
        <f>IFERROR(B5+C5,0)</f>
        <v>23000000</v>
      </c>
      <c r="H5">
        <f>SUM($G$2:G5)</f>
        <v>91024475</v>
      </c>
      <c r="I5">
        <f t="shared" si="3"/>
        <v>74.305693877551022</v>
      </c>
      <c r="J5">
        <f t="shared" si="4"/>
        <v>105.92931787755101</v>
      </c>
      <c r="K5">
        <f t="shared" si="5"/>
        <v>423.71727151020406</v>
      </c>
    </row>
    <row r="6" spans="1:11">
      <c r="A6">
        <v>5</v>
      </c>
      <c r="B6" s="6">
        <v>14000000</v>
      </c>
      <c r="C6" s="6">
        <v>8451600</v>
      </c>
      <c r="D6">
        <f t="shared" si="0"/>
        <v>3380640</v>
      </c>
      <c r="E6">
        <f t="shared" si="1"/>
        <v>5.6344000000000003</v>
      </c>
      <c r="F6">
        <f t="shared" si="2"/>
        <v>28</v>
      </c>
      <c r="G6">
        <f>IFERROR(B6+C6,0)</f>
        <v>22451600</v>
      </c>
      <c r="H6">
        <f>SUM($G$2:G6)</f>
        <v>113476075</v>
      </c>
      <c r="I6">
        <f t="shared" si="3"/>
        <v>92.633530612244897</v>
      </c>
      <c r="J6">
        <f t="shared" si="4"/>
        <v>126.2679306122449</v>
      </c>
      <c r="K6">
        <f t="shared" si="5"/>
        <v>631.33965306122445</v>
      </c>
    </row>
    <row r="7" spans="1:11">
      <c r="A7">
        <v>6</v>
      </c>
      <c r="B7" s="6">
        <v>14000000</v>
      </c>
      <c r="C7" s="6">
        <v>7803528</v>
      </c>
      <c r="D7">
        <f t="shared" si="0"/>
        <v>3121411.2</v>
      </c>
      <c r="E7">
        <f t="shared" si="1"/>
        <v>5.2023520000000003</v>
      </c>
      <c r="F7">
        <f t="shared" si="2"/>
        <v>28</v>
      </c>
      <c r="G7">
        <f>IFERROR(B7+C7,0)</f>
        <v>21803528</v>
      </c>
      <c r="H7">
        <f>SUM($G$2:G7)</f>
        <v>135279603</v>
      </c>
      <c r="I7">
        <f t="shared" si="3"/>
        <v>110.43232897959184</v>
      </c>
      <c r="J7">
        <f t="shared" si="4"/>
        <v>143.63468097959182</v>
      </c>
      <c r="K7">
        <f t="shared" si="5"/>
        <v>861.80808587755087</v>
      </c>
    </row>
    <row r="8" spans="1:11">
      <c r="A8">
        <v>7</v>
      </c>
      <c r="B8" s="6">
        <v>14000000</v>
      </c>
      <c r="C8" s="6">
        <v>8751082</v>
      </c>
      <c r="D8">
        <f t="shared" si="0"/>
        <v>3500432.8</v>
      </c>
      <c r="E8">
        <f t="shared" si="1"/>
        <v>5.8340546666666659</v>
      </c>
      <c r="F8">
        <f t="shared" si="2"/>
        <v>28</v>
      </c>
      <c r="G8">
        <f>IFERROR(B8+C8,0)</f>
        <v>22751082</v>
      </c>
      <c r="H8">
        <f>SUM($G$2:G8)</f>
        <v>158030685</v>
      </c>
      <c r="I8">
        <f t="shared" si="3"/>
        <v>129.00464081632654</v>
      </c>
      <c r="J8">
        <f t="shared" si="4"/>
        <v>162.83869548299322</v>
      </c>
      <c r="K8">
        <f t="shared" si="5"/>
        <v>1139.8708683809525</v>
      </c>
    </row>
    <row r="9" spans="1:11">
      <c r="A9">
        <v>8</v>
      </c>
      <c r="B9" s="6">
        <v>14000000</v>
      </c>
      <c r="C9" s="6">
        <v>8970072</v>
      </c>
      <c r="D9">
        <f t="shared" si="0"/>
        <v>3588028.8</v>
      </c>
      <c r="E9">
        <f t="shared" si="1"/>
        <v>5.980048</v>
      </c>
      <c r="F9">
        <f t="shared" si="2"/>
        <v>28</v>
      </c>
      <c r="G9">
        <f>IFERROR(B9+C9,0)</f>
        <v>22970072</v>
      </c>
      <c r="H9">
        <f>SUM($G$2:G9)</f>
        <v>181000757</v>
      </c>
      <c r="I9">
        <f t="shared" si="3"/>
        <v>147.75572</v>
      </c>
      <c r="J9">
        <f t="shared" si="4"/>
        <v>181.73576800000001</v>
      </c>
      <c r="K9">
        <f t="shared" si="5"/>
        <v>1453.8861440000001</v>
      </c>
    </row>
    <row r="10" spans="1:11">
      <c r="A10">
        <v>9</v>
      </c>
      <c r="B10" s="6">
        <v>13853897</v>
      </c>
      <c r="C10" s="6">
        <v>9146103</v>
      </c>
      <c r="D10">
        <f t="shared" si="0"/>
        <v>3658441.2</v>
      </c>
      <c r="E10">
        <f t="shared" si="1"/>
        <v>6.0974020000000007</v>
      </c>
      <c r="F10">
        <f t="shared" si="2"/>
        <v>27.707794</v>
      </c>
      <c r="G10">
        <f>IFERROR(B10+C10,0)</f>
        <v>23000000</v>
      </c>
      <c r="H10">
        <f>SUM($G$2:G10)</f>
        <v>204000757</v>
      </c>
      <c r="I10">
        <f t="shared" si="3"/>
        <v>166.53123020408162</v>
      </c>
      <c r="J10">
        <f t="shared" si="4"/>
        <v>200.33642620408162</v>
      </c>
      <c r="K10">
        <f t="shared" si="5"/>
        <v>1803.0278358367345</v>
      </c>
    </row>
    <row r="11" spans="1:11">
      <c r="A11">
        <v>10</v>
      </c>
      <c r="B11" s="6">
        <v>11309939</v>
      </c>
      <c r="C11" s="6">
        <v>11690061</v>
      </c>
      <c r="D11">
        <f t="shared" si="0"/>
        <v>4676024.4000000004</v>
      </c>
      <c r="E11">
        <f t="shared" si="1"/>
        <v>7.7933740000000009</v>
      </c>
      <c r="F11">
        <f t="shared" si="2"/>
        <v>22.619878</v>
      </c>
      <c r="G11">
        <f>IFERROR(B11+C11,0)</f>
        <v>23000000</v>
      </c>
      <c r="H11">
        <f>SUM($G$2:G11)</f>
        <v>227000757</v>
      </c>
      <c r="I11">
        <f t="shared" si="3"/>
        <v>185.30674040816325</v>
      </c>
      <c r="J11">
        <f t="shared" si="4"/>
        <v>215.71999240816325</v>
      </c>
      <c r="K11">
        <f t="shared" si="5"/>
        <v>2157.1999240816326</v>
      </c>
    </row>
    <row r="12" spans="1:11">
      <c r="A12">
        <v>11</v>
      </c>
      <c r="B12" s="6">
        <v>9070512</v>
      </c>
      <c r="C12" s="6">
        <v>13929488</v>
      </c>
      <c r="D12">
        <f t="shared" si="0"/>
        <v>5571795.2000000002</v>
      </c>
      <c r="E12">
        <f t="shared" si="1"/>
        <v>9.286325333333334</v>
      </c>
      <c r="F12">
        <f t="shared" si="2"/>
        <v>18.141024000000002</v>
      </c>
      <c r="G12">
        <f>IFERROR(B12+C12,0)</f>
        <v>23000000</v>
      </c>
      <c r="H12">
        <f>SUM($G$2:G12)</f>
        <v>250000757</v>
      </c>
      <c r="I12">
        <f t="shared" si="3"/>
        <v>204.08225061224491</v>
      </c>
      <c r="J12">
        <f t="shared" si="4"/>
        <v>231.50959994557823</v>
      </c>
      <c r="K12">
        <f t="shared" si="5"/>
        <v>2546.6055994013605</v>
      </c>
    </row>
    <row r="13" spans="1:11">
      <c r="A13">
        <v>12</v>
      </c>
      <c r="B13" s="6">
        <v>7086530</v>
      </c>
      <c r="C13" s="6">
        <v>15913470</v>
      </c>
      <c r="D13">
        <f t="shared" si="0"/>
        <v>6365388</v>
      </c>
      <c r="E13">
        <f t="shared" si="1"/>
        <v>10.608980000000001</v>
      </c>
      <c r="F13">
        <f t="shared" si="2"/>
        <v>14.17306</v>
      </c>
      <c r="G13">
        <f>IFERROR(B13+C13,0)</f>
        <v>23000000</v>
      </c>
      <c r="H13">
        <f>SUM($G$2:G13)</f>
        <v>273000757</v>
      </c>
      <c r="I13">
        <f t="shared" si="3"/>
        <v>222.8577608163265</v>
      </c>
      <c r="J13">
        <f t="shared" si="4"/>
        <v>247.6398008163265</v>
      </c>
      <c r="K13">
        <f t="shared" si="5"/>
        <v>2971.6776097959182</v>
      </c>
    </row>
    <row r="14" spans="1:11">
      <c r="A14">
        <v>13</v>
      </c>
      <c r="B14" s="6">
        <v>6632058</v>
      </c>
      <c r="C14" s="6">
        <v>16367942</v>
      </c>
      <c r="D14">
        <f t="shared" si="0"/>
        <v>6547176.7999999998</v>
      </c>
      <c r="E14">
        <f t="shared" si="1"/>
        <v>10.911961333333332</v>
      </c>
      <c r="F14">
        <f t="shared" si="2"/>
        <v>13.264116</v>
      </c>
      <c r="G14">
        <f>IFERROR(B14+C14,0)</f>
        <v>23000000</v>
      </c>
      <c r="H14">
        <f>SUM($G$2:G14)</f>
        <v>296000757</v>
      </c>
      <c r="I14">
        <f t="shared" si="3"/>
        <v>241.63327102040816</v>
      </c>
      <c r="J14">
        <f t="shared" si="4"/>
        <v>265.80934835374148</v>
      </c>
      <c r="K14">
        <f t="shared" si="5"/>
        <v>3455.5215285986392</v>
      </c>
    </row>
    <row r="15" spans="1:11">
      <c r="A15">
        <v>14</v>
      </c>
      <c r="B15" s="6">
        <v>7197659</v>
      </c>
      <c r="C15" s="6">
        <v>15802341</v>
      </c>
      <c r="D15">
        <f t="shared" si="0"/>
        <v>6320936.4000000004</v>
      </c>
      <c r="E15">
        <f t="shared" si="1"/>
        <v>10.534894</v>
      </c>
      <c r="F15">
        <f t="shared" si="2"/>
        <v>14.395318</v>
      </c>
      <c r="G15">
        <f>IFERROR(B15+C15,0)</f>
        <v>23000000</v>
      </c>
      <c r="H15">
        <f>SUM($G$2:G15)</f>
        <v>319000757</v>
      </c>
      <c r="I15">
        <f t="shared" si="3"/>
        <v>260.40878122448976</v>
      </c>
      <c r="J15">
        <f t="shared" si="4"/>
        <v>285.33899322448974</v>
      </c>
      <c r="K15">
        <f t="shared" si="5"/>
        <v>3994.7459051428564</v>
      </c>
    </row>
    <row r="16" spans="1:11">
      <c r="A16">
        <v>15</v>
      </c>
      <c r="B16" s="6">
        <v>7305992</v>
      </c>
      <c r="C16" s="6">
        <v>15694008</v>
      </c>
      <c r="D16">
        <f t="shared" si="0"/>
        <v>6277603.2000000002</v>
      </c>
      <c r="E16">
        <f t="shared" si="1"/>
        <v>10.462672</v>
      </c>
      <c r="F16">
        <f t="shared" si="2"/>
        <v>14.611984</v>
      </c>
      <c r="G16">
        <f>IFERROR(B16+C16,0)</f>
        <v>23000000</v>
      </c>
      <c r="H16">
        <f>SUM($G$2:G16)</f>
        <v>342000757</v>
      </c>
      <c r="I16">
        <f t="shared" si="3"/>
        <v>279.1842914285715</v>
      </c>
      <c r="J16">
        <f t="shared" si="4"/>
        <v>304.2589474285715</v>
      </c>
      <c r="K16">
        <f t="shared" si="5"/>
        <v>4563.8842114285726</v>
      </c>
    </row>
    <row r="17" spans="1:11">
      <c r="A17">
        <v>16</v>
      </c>
      <c r="B17" s="6">
        <v>7163413</v>
      </c>
      <c r="C17" s="6">
        <v>15836587</v>
      </c>
      <c r="D17">
        <f t="shared" si="0"/>
        <v>6334634.7999999998</v>
      </c>
      <c r="E17">
        <f t="shared" si="1"/>
        <v>10.557724666666665</v>
      </c>
      <c r="F17">
        <f t="shared" si="2"/>
        <v>14.326826000000001</v>
      </c>
      <c r="G17">
        <f>IFERROR(B17+C17,0)</f>
        <v>23000000</v>
      </c>
      <c r="H17">
        <f>SUM($G$2:G17)</f>
        <v>365000757</v>
      </c>
      <c r="I17">
        <f t="shared" si="3"/>
        <v>297.95980163265307</v>
      </c>
      <c r="J17">
        <f t="shared" si="4"/>
        <v>322.84435229931972</v>
      </c>
      <c r="K17">
        <f t="shared" si="5"/>
        <v>5165.5096367891156</v>
      </c>
    </row>
    <row r="18" spans="1:11">
      <c r="A18">
        <v>17</v>
      </c>
      <c r="B18" s="6">
        <v>7050361</v>
      </c>
      <c r="C18" s="6">
        <v>15949639</v>
      </c>
      <c r="D18">
        <f t="shared" si="0"/>
        <v>6379855.5999999996</v>
      </c>
      <c r="E18">
        <f t="shared" si="1"/>
        <v>10.633092666666666</v>
      </c>
      <c r="F18">
        <f t="shared" si="2"/>
        <v>14.100721999999999</v>
      </c>
      <c r="G18">
        <f>IFERROR(B18+C18,0)</f>
        <v>23000000</v>
      </c>
      <c r="H18">
        <f>SUM($G$2:G18)</f>
        <v>388000757</v>
      </c>
      <c r="I18">
        <f t="shared" si="3"/>
        <v>316.73531183673475</v>
      </c>
      <c r="J18">
        <f t="shared" si="4"/>
        <v>341.46912650340141</v>
      </c>
      <c r="K18">
        <f t="shared" si="5"/>
        <v>5804.9751505578242</v>
      </c>
    </row>
    <row r="19" spans="1:11">
      <c r="A19">
        <v>18</v>
      </c>
      <c r="B19" s="6">
        <v>6725825</v>
      </c>
      <c r="C19" s="6">
        <v>16274175</v>
      </c>
      <c r="D19">
        <f t="shared" si="0"/>
        <v>6509670</v>
      </c>
      <c r="E19">
        <f t="shared" si="1"/>
        <v>10.849449999999999</v>
      </c>
      <c r="F19">
        <f t="shared" si="2"/>
        <v>13.451650000000001</v>
      </c>
      <c r="G19">
        <f>IFERROR(B19+C19,0)</f>
        <v>23000000</v>
      </c>
      <c r="H19">
        <f>SUM($G$2:G19)</f>
        <v>411000757</v>
      </c>
      <c r="I19">
        <f t="shared" si="3"/>
        <v>335.51082204081632</v>
      </c>
      <c r="J19">
        <f t="shared" si="4"/>
        <v>359.81192204081634</v>
      </c>
      <c r="K19">
        <f t="shared" si="5"/>
        <v>6476.6145967346938</v>
      </c>
    </row>
    <row r="20" spans="1:11">
      <c r="A20">
        <v>19</v>
      </c>
      <c r="B20" s="6">
        <v>6690880</v>
      </c>
      <c r="C20" s="6">
        <v>16309120</v>
      </c>
      <c r="D20">
        <f t="shared" si="0"/>
        <v>6523648</v>
      </c>
      <c r="E20">
        <f t="shared" si="1"/>
        <v>10.872746666666666</v>
      </c>
      <c r="F20">
        <f t="shared" si="2"/>
        <v>13.38176</v>
      </c>
      <c r="G20">
        <f>IFERROR(B20+C20,0)</f>
        <v>23000000</v>
      </c>
      <c r="H20">
        <f>SUM($G$2:G20)</f>
        <v>434000757</v>
      </c>
      <c r="I20">
        <f t="shared" si="3"/>
        <v>354.28633224489801</v>
      </c>
      <c r="J20">
        <f t="shared" si="4"/>
        <v>378.54083891156466</v>
      </c>
      <c r="K20">
        <f t="shared" si="5"/>
        <v>7192.2759393197284</v>
      </c>
    </row>
    <row r="21" spans="1:11">
      <c r="A21">
        <v>20</v>
      </c>
      <c r="B21" s="6">
        <v>6310941</v>
      </c>
      <c r="C21" s="6">
        <v>16689059</v>
      </c>
      <c r="D21">
        <f t="shared" si="0"/>
        <v>6675623.5999999996</v>
      </c>
      <c r="E21">
        <f t="shared" si="1"/>
        <v>11.126039333333333</v>
      </c>
      <c r="F21">
        <f t="shared" si="2"/>
        <v>12.621881999999999</v>
      </c>
      <c r="G21">
        <f>IFERROR(B21+C21,0)</f>
        <v>23000000</v>
      </c>
      <c r="H21">
        <f>SUM($G$2:G21)</f>
        <v>457000757</v>
      </c>
      <c r="I21">
        <f t="shared" si="3"/>
        <v>373.06184244897963</v>
      </c>
      <c r="J21">
        <f t="shared" si="4"/>
        <v>396.80976378231298</v>
      </c>
      <c r="K21">
        <f t="shared" si="5"/>
        <v>7936.1952756462597</v>
      </c>
    </row>
    <row r="22" spans="1:11">
      <c r="A22">
        <v>21</v>
      </c>
      <c r="B22" s="6">
        <v>6495534</v>
      </c>
      <c r="C22" s="6">
        <v>16504466</v>
      </c>
      <c r="D22">
        <f t="shared" si="0"/>
        <v>6601786.4000000004</v>
      </c>
      <c r="E22">
        <f t="shared" si="1"/>
        <v>11.002977333333334</v>
      </c>
      <c r="F22">
        <f t="shared" si="2"/>
        <v>12.991068</v>
      </c>
      <c r="G22">
        <f>IFERROR(B22+C22,0)</f>
        <v>23000000</v>
      </c>
      <c r="H22">
        <f>SUM($G$2:G22)</f>
        <v>480000757</v>
      </c>
      <c r="I22">
        <f t="shared" si="3"/>
        <v>391.8373526530612</v>
      </c>
      <c r="J22">
        <f t="shared" si="4"/>
        <v>415.83139798639451</v>
      </c>
      <c r="K22">
        <f t="shared" si="5"/>
        <v>8732.4593577142841</v>
      </c>
    </row>
    <row r="23" spans="1:11">
      <c r="A23">
        <v>22</v>
      </c>
      <c r="B23" s="6">
        <v>5835870</v>
      </c>
      <c r="C23" s="6">
        <v>17164130</v>
      </c>
      <c r="D23">
        <f t="shared" si="0"/>
        <v>6865652</v>
      </c>
      <c r="E23">
        <f t="shared" si="1"/>
        <v>11.442753333333334</v>
      </c>
      <c r="F23">
        <f t="shared" ref="F23:F25" si="6">(B23*2)/1000000</f>
        <v>11.67174</v>
      </c>
      <c r="G23">
        <f t="shared" ref="G23:G25" si="7">IFERROR(B23+C23,0)</f>
        <v>23000000</v>
      </c>
      <c r="H23">
        <f>SUM($G$2:G23)</f>
        <v>503000757</v>
      </c>
      <c r="I23">
        <f t="shared" si="3"/>
        <v>410.61286285714289</v>
      </c>
      <c r="J23">
        <f t="shared" ref="J23:J25" si="8">I23+F23+E23</f>
        <v>433.7273561904762</v>
      </c>
      <c r="K23">
        <f t="shared" ref="K23:K25" si="9">A23*J23</f>
        <v>9542.0018361904768</v>
      </c>
    </row>
    <row r="24" spans="1:11">
      <c r="A24">
        <v>23</v>
      </c>
      <c r="B24" s="6">
        <v>6911110</v>
      </c>
      <c r="C24" s="6">
        <v>16088890</v>
      </c>
      <c r="D24">
        <f t="shared" si="0"/>
        <v>6435556</v>
      </c>
      <c r="E24">
        <f t="shared" si="1"/>
        <v>10.725926666666666</v>
      </c>
      <c r="F24">
        <f t="shared" si="6"/>
        <v>13.82222</v>
      </c>
      <c r="G24">
        <f t="shared" si="7"/>
        <v>23000000</v>
      </c>
      <c r="H24">
        <f>SUM($G$2:G24)</f>
        <v>526000757</v>
      </c>
      <c r="I24">
        <f t="shared" si="3"/>
        <v>429.38837306122451</v>
      </c>
      <c r="J24">
        <f t="shared" si="8"/>
        <v>453.93651972789121</v>
      </c>
      <c r="K24">
        <f t="shared" si="9"/>
        <v>10440.539953741498</v>
      </c>
    </row>
    <row r="25" spans="1:11">
      <c r="A25">
        <v>24</v>
      </c>
      <c r="B25" s="6">
        <v>8200086</v>
      </c>
      <c r="C25" s="6">
        <v>12835316</v>
      </c>
      <c r="D25">
        <f t="shared" si="0"/>
        <v>5134126.4000000004</v>
      </c>
      <c r="E25">
        <f t="shared" si="1"/>
        <v>8.5568773333333343</v>
      </c>
      <c r="F25">
        <f t="shared" si="6"/>
        <v>16.400172000000001</v>
      </c>
      <c r="G25">
        <f t="shared" si="7"/>
        <v>21035402</v>
      </c>
      <c r="H25">
        <f>SUM($G$2:G25)</f>
        <v>547036159</v>
      </c>
      <c r="I25">
        <f t="shared" si="3"/>
        <v>446.56012979591833</v>
      </c>
      <c r="J25">
        <f t="shared" si="8"/>
        <v>471.51717912925164</v>
      </c>
      <c r="K25">
        <f t="shared" si="9"/>
        <v>11316.412299102039</v>
      </c>
    </row>
    <row r="26" spans="1:11">
      <c r="B26" s="6"/>
      <c r="C26" s="6"/>
    </row>
    <row r="27" spans="1:11">
      <c r="B27" s="6"/>
      <c r="C27" s="6"/>
    </row>
    <row r="28" spans="1:11">
      <c r="B28" s="6"/>
      <c r="C28" s="6"/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313587199</v>
      </c>
    </row>
    <row r="37" spans="1:10">
      <c r="H37" s="14" t="s">
        <v>37</v>
      </c>
      <c r="I37" t="s">
        <v>2</v>
      </c>
      <c r="J37" s="15">
        <f>MAX(K2:K33)</f>
        <v>11316.412299102039</v>
      </c>
    </row>
    <row r="38" spans="1:10">
      <c r="I38" t="s">
        <v>3</v>
      </c>
      <c r="J38" s="15">
        <f>MAX(J2:J33)</f>
        <v>471.51717912925164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/>
      <c r="B58" s="6"/>
      <c r="C58" s="6"/>
      <c r="D58" s="6"/>
      <c r="E58" s="6"/>
      <c r="F58" s="6"/>
      <c r="G58" s="6"/>
    </row>
    <row r="59" spans="1:9">
      <c r="A59" s="6"/>
      <c r="B59" s="6"/>
      <c r="C59" s="6"/>
      <c r="D59" s="6"/>
      <c r="E59" s="6"/>
      <c r="F59" s="6"/>
      <c r="G59" s="6"/>
    </row>
    <row r="60" spans="1:9">
      <c r="A60" s="6">
        <v>1</v>
      </c>
      <c r="B60" s="6">
        <v>14000000</v>
      </c>
      <c r="C60" s="6">
        <v>8304540</v>
      </c>
      <c r="D60" s="6">
        <v>0.59</v>
      </c>
      <c r="E60" s="6">
        <v>2.1459999999999999</v>
      </c>
      <c r="F60" s="6">
        <v>1047761795</v>
      </c>
      <c r="G60" s="6">
        <v>952510723</v>
      </c>
    </row>
    <row r="61" spans="1:9">
      <c r="A61" s="6">
        <v>2</v>
      </c>
      <c r="B61" s="6">
        <v>14000000</v>
      </c>
      <c r="C61" s="6">
        <v>8719935</v>
      </c>
      <c r="D61" s="6">
        <v>0.62</v>
      </c>
      <c r="E61" s="6">
        <v>1.9331</v>
      </c>
      <c r="F61" s="6">
        <v>908474109</v>
      </c>
      <c r="G61" s="6">
        <v>750805049</v>
      </c>
    </row>
    <row r="62" spans="1:9">
      <c r="A62" s="6">
        <v>3</v>
      </c>
      <c r="B62" s="6">
        <v>13390635</v>
      </c>
      <c r="C62" s="6">
        <v>9609365</v>
      </c>
      <c r="D62" s="6">
        <v>0.72</v>
      </c>
      <c r="E62" s="6">
        <v>2.4767999999999999</v>
      </c>
      <c r="F62" s="6">
        <v>1201688580</v>
      </c>
      <c r="G62" s="6">
        <v>902846417</v>
      </c>
    </row>
    <row r="63" spans="1:9">
      <c r="A63" s="6">
        <v>4</v>
      </c>
      <c r="B63" s="6">
        <v>12217718</v>
      </c>
      <c r="C63" s="6">
        <v>10782282</v>
      </c>
      <c r="D63" s="6">
        <v>0.88</v>
      </c>
      <c r="E63" s="6">
        <v>2.4891000000000001</v>
      </c>
      <c r="F63" s="6">
        <v>1096758075</v>
      </c>
      <c r="G63" s="6">
        <v>749100523</v>
      </c>
    </row>
    <row r="64" spans="1:9">
      <c r="A64" s="6">
        <v>5</v>
      </c>
      <c r="B64" s="6">
        <v>14000000</v>
      </c>
      <c r="C64" s="6">
        <v>8451600</v>
      </c>
      <c r="D64" s="6">
        <v>0.6</v>
      </c>
      <c r="E64" s="6">
        <v>2.4510000000000001</v>
      </c>
      <c r="F64" s="6">
        <v>1244876999</v>
      </c>
      <c r="G64" s="6">
        <v>772970673</v>
      </c>
    </row>
    <row r="65" spans="1:7">
      <c r="A65" s="6">
        <v>6</v>
      </c>
      <c r="B65" s="6">
        <v>14000000</v>
      </c>
      <c r="C65" s="6">
        <v>7803528</v>
      </c>
      <c r="D65" s="6">
        <v>0.56000000000000005</v>
      </c>
      <c r="E65" s="6">
        <v>2.3595999999999999</v>
      </c>
      <c r="F65" s="6">
        <v>1187808110</v>
      </c>
      <c r="G65" s="6">
        <v>670486712</v>
      </c>
    </row>
    <row r="66" spans="1:7">
      <c r="A66" s="6">
        <v>7</v>
      </c>
      <c r="B66" s="6">
        <v>14000000</v>
      </c>
      <c r="C66" s="6">
        <v>8751082</v>
      </c>
      <c r="D66" s="6">
        <v>0.63</v>
      </c>
      <c r="E66" s="6">
        <v>2.3978999999999999</v>
      </c>
      <c r="F66" s="6">
        <v>1209510321</v>
      </c>
      <c r="G66" s="6">
        <v>620670040</v>
      </c>
    </row>
    <row r="67" spans="1:7">
      <c r="A67" s="6">
        <v>8</v>
      </c>
      <c r="B67" s="6">
        <v>14000000</v>
      </c>
      <c r="C67" s="6">
        <v>8970072</v>
      </c>
      <c r="D67" s="6">
        <v>0.64</v>
      </c>
      <c r="E67" s="6">
        <v>2.4382000000000001</v>
      </c>
      <c r="F67" s="6">
        <v>1234928160</v>
      </c>
      <c r="G67" s="6">
        <v>576103101</v>
      </c>
    </row>
    <row r="68" spans="1:7">
      <c r="A68" s="6">
        <v>9</v>
      </c>
      <c r="B68" s="6">
        <v>13853897</v>
      </c>
      <c r="C68" s="6">
        <v>9146103</v>
      </c>
      <c r="D68" s="6">
        <v>0.66</v>
      </c>
      <c r="E68" s="6">
        <v>2.7985000000000002</v>
      </c>
      <c r="F68" s="6">
        <v>1452144603</v>
      </c>
      <c r="G68" s="6">
        <v>615851067</v>
      </c>
    </row>
    <row r="69" spans="1:7">
      <c r="A69" s="6">
        <v>10</v>
      </c>
      <c r="B69" s="6">
        <v>11309939</v>
      </c>
      <c r="C69" s="6">
        <v>11690061</v>
      </c>
      <c r="D69" s="6">
        <v>1.03</v>
      </c>
      <c r="E69" s="6">
        <v>0.98750000000000004</v>
      </c>
      <c r="F69" s="6">
        <v>223712912</v>
      </c>
      <c r="G69" s="6">
        <v>86251012</v>
      </c>
    </row>
    <row r="70" spans="1:7">
      <c r="A70" s="6">
        <v>11</v>
      </c>
      <c r="B70" s="6">
        <v>9070512</v>
      </c>
      <c r="C70" s="6">
        <v>13929488</v>
      </c>
      <c r="D70" s="6">
        <v>1.54</v>
      </c>
      <c r="E70" s="6">
        <v>1.1424000000000001</v>
      </c>
      <c r="F70" s="6">
        <v>229503054</v>
      </c>
      <c r="G70" s="6">
        <v>80439420</v>
      </c>
    </row>
    <row r="71" spans="1:7">
      <c r="A71" s="6">
        <v>12</v>
      </c>
      <c r="B71" s="6">
        <v>7086530</v>
      </c>
      <c r="C71" s="6">
        <v>15913470</v>
      </c>
      <c r="D71" s="6">
        <v>2.25</v>
      </c>
      <c r="E71" s="6">
        <v>1.0732999999999999</v>
      </c>
      <c r="F71" s="6">
        <v>140159265</v>
      </c>
      <c r="G71" s="6">
        <v>44659061</v>
      </c>
    </row>
    <row r="72" spans="1:7">
      <c r="A72" s="6">
        <v>13</v>
      </c>
      <c r="B72" s="6">
        <v>6632058</v>
      </c>
      <c r="C72" s="6">
        <v>16367942</v>
      </c>
      <c r="D72" s="6">
        <v>2.4700000000000002</v>
      </c>
      <c r="E72" s="6">
        <v>1.0637000000000001</v>
      </c>
      <c r="F72" s="6">
        <v>123367678</v>
      </c>
      <c r="G72" s="6">
        <v>35735222</v>
      </c>
    </row>
    <row r="73" spans="1:7">
      <c r="A73" s="6">
        <v>14</v>
      </c>
      <c r="B73" s="6">
        <v>7197659</v>
      </c>
      <c r="C73" s="6">
        <v>15802341</v>
      </c>
      <c r="D73" s="6">
        <v>2.2000000000000002</v>
      </c>
      <c r="E73" s="6">
        <v>1.1504000000000001</v>
      </c>
      <c r="F73" s="6">
        <v>169222619</v>
      </c>
      <c r="G73" s="6">
        <v>44561605</v>
      </c>
    </row>
    <row r="74" spans="1:7">
      <c r="A74" s="6">
        <v>15</v>
      </c>
      <c r="B74" s="6">
        <v>7305992</v>
      </c>
      <c r="C74" s="6">
        <v>15694008</v>
      </c>
      <c r="D74" s="6">
        <v>2.15</v>
      </c>
      <c r="E74" s="6">
        <v>1.1689000000000001</v>
      </c>
      <c r="F74" s="6">
        <v>179144350</v>
      </c>
      <c r="G74" s="6">
        <v>42885733</v>
      </c>
    </row>
    <row r="75" spans="1:7">
      <c r="A75" s="6">
        <v>16</v>
      </c>
      <c r="B75" s="6">
        <v>7163413</v>
      </c>
      <c r="C75" s="6">
        <v>15836587</v>
      </c>
      <c r="D75" s="6">
        <v>2.21</v>
      </c>
      <c r="E75" s="6">
        <v>1.1701999999999999</v>
      </c>
      <c r="F75" s="6">
        <v>174599498</v>
      </c>
      <c r="G75" s="6">
        <v>37997938</v>
      </c>
    </row>
    <row r="76" spans="1:7">
      <c r="A76" s="6">
        <v>17</v>
      </c>
      <c r="B76" s="6">
        <v>7050361</v>
      </c>
      <c r="C76" s="6">
        <v>15949639</v>
      </c>
      <c r="D76" s="6">
        <v>2.2599999999999998</v>
      </c>
      <c r="E76" s="6">
        <v>1.1806000000000001</v>
      </c>
      <c r="F76" s="6">
        <v>174048671</v>
      </c>
      <c r="G76" s="6">
        <v>34434602</v>
      </c>
    </row>
    <row r="77" spans="1:7">
      <c r="A77" s="6">
        <v>18</v>
      </c>
      <c r="B77" s="6">
        <v>6725825</v>
      </c>
      <c r="C77" s="6">
        <v>16274175</v>
      </c>
      <c r="D77" s="6">
        <v>2.42</v>
      </c>
      <c r="E77" s="6">
        <v>1.1734</v>
      </c>
      <c r="F77" s="6">
        <v>160314304</v>
      </c>
      <c r="G77" s="6">
        <v>28833937</v>
      </c>
    </row>
    <row r="78" spans="1:7">
      <c r="A78" s="6">
        <v>19</v>
      </c>
      <c r="B78" s="6">
        <v>6690880</v>
      </c>
      <c r="C78" s="6">
        <v>16309120</v>
      </c>
      <c r="D78" s="6">
        <v>2.44</v>
      </c>
      <c r="E78" s="6">
        <v>1.2414000000000001</v>
      </c>
      <c r="F78" s="6">
        <v>180161433</v>
      </c>
      <c r="G78" s="6">
        <v>29457834</v>
      </c>
    </row>
    <row r="79" spans="1:7">
      <c r="A79" s="6">
        <v>20</v>
      </c>
      <c r="B79" s="6">
        <v>6310941</v>
      </c>
      <c r="C79" s="6">
        <v>16689059</v>
      </c>
      <c r="D79" s="6">
        <v>2.64</v>
      </c>
      <c r="E79" s="6">
        <v>1.3627</v>
      </c>
      <c r="F79" s="6">
        <v>201085495</v>
      </c>
      <c r="G79" s="6">
        <v>29890077</v>
      </c>
    </row>
    <row r="80" spans="1:7">
      <c r="A80" s="6">
        <v>21</v>
      </c>
      <c r="B80" s="6">
        <v>6495534</v>
      </c>
      <c r="C80" s="6">
        <v>16504466</v>
      </c>
      <c r="D80" s="6">
        <v>2.54</v>
      </c>
      <c r="E80" s="6">
        <v>1.4079999999999999</v>
      </c>
      <c r="F80" s="6">
        <v>222773549</v>
      </c>
      <c r="G80" s="6">
        <v>30103517</v>
      </c>
    </row>
    <row r="81" spans="1:7">
      <c r="A81" s="6">
        <v>22</v>
      </c>
      <c r="B81" s="6">
        <v>5835870</v>
      </c>
      <c r="C81" s="6">
        <v>17164130</v>
      </c>
      <c r="D81" s="6">
        <v>2.94</v>
      </c>
      <c r="E81" s="6">
        <v>1.6408</v>
      </c>
      <c r="F81" s="6">
        <v>255374348</v>
      </c>
      <c r="G81" s="6">
        <v>31371710</v>
      </c>
    </row>
    <row r="82" spans="1:7">
      <c r="A82" s="6">
        <v>23</v>
      </c>
      <c r="B82" s="6">
        <v>6911110</v>
      </c>
      <c r="C82" s="6">
        <v>16088890</v>
      </c>
      <c r="D82" s="6">
        <v>2.33</v>
      </c>
      <c r="E82" s="6">
        <v>1.8169</v>
      </c>
      <c r="F82" s="6">
        <v>372628541</v>
      </c>
      <c r="G82" s="6">
        <v>41614469</v>
      </c>
    </row>
    <row r="83" spans="1:7">
      <c r="A83" s="6">
        <v>24</v>
      </c>
      <c r="B83" s="6">
        <v>8200086</v>
      </c>
      <c r="C83" s="6">
        <v>12835316</v>
      </c>
      <c r="D83" s="6">
        <v>1.57</v>
      </c>
      <c r="E83" s="6">
        <v>2.0019999999999998</v>
      </c>
      <c r="F83" s="6">
        <v>532902698</v>
      </c>
      <c r="G83" s="6">
        <v>54545525</v>
      </c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90"/>
  <sheetViews>
    <sheetView workbookViewId="0">
      <selection sqref="A1:XFD1048576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9000000</v>
      </c>
      <c r="C2" s="6">
        <v>5360182</v>
      </c>
      <c r="D2">
        <f>C2/2.5</f>
        <v>2144072.7999999998</v>
      </c>
      <c r="E2">
        <f>(D2/60)/10000</f>
        <v>3.5734546666666662</v>
      </c>
      <c r="F2">
        <f>(B2*2)/1000000</f>
        <v>18</v>
      </c>
      <c r="G2">
        <f>IFERROR(B2+C2,0)</f>
        <v>14360182</v>
      </c>
      <c r="H2">
        <f>SUM($G$2:G2)</f>
        <v>14360182</v>
      </c>
      <c r="I2">
        <f>((H2/2.5)/49)/10000</f>
        <v>11.722597551020408</v>
      </c>
      <c r="J2">
        <f>I2+F2+E2</f>
        <v>33.29605221768707</v>
      </c>
      <c r="K2">
        <f>A2*J2</f>
        <v>33.29605221768707</v>
      </c>
    </row>
    <row r="3" spans="1:11">
      <c r="A3">
        <v>2</v>
      </c>
      <c r="B3" s="6">
        <v>9000000</v>
      </c>
      <c r="C3" s="6">
        <v>5335082</v>
      </c>
      <c r="D3">
        <f t="shared" ref="D3:D33" si="0">C3/2.5</f>
        <v>2134032.7999999998</v>
      </c>
      <c r="E3">
        <f t="shared" ref="E3:E33" si="1">(D3/60)/10000</f>
        <v>3.5567213333333334</v>
      </c>
      <c r="F3">
        <f t="shared" ref="F3:F34" si="2">(B3*2)/1000000</f>
        <v>18</v>
      </c>
      <c r="G3">
        <f>IFERROR(B3+C3,0)</f>
        <v>14335082</v>
      </c>
      <c r="H3">
        <f>SUM($G$2:G3)</f>
        <v>28695264</v>
      </c>
      <c r="I3">
        <f t="shared" ref="I3:I33" si="3">((H3/2.5)/49)/10000</f>
        <v>23.424705306122448</v>
      </c>
      <c r="J3">
        <f t="shared" ref="J3:J25" si="4">I3+F3+E3</f>
        <v>44.981426639455783</v>
      </c>
      <c r="K3">
        <f t="shared" ref="K3:K25" si="5">A3*J3</f>
        <v>89.962853278911567</v>
      </c>
    </row>
    <row r="4" spans="1:11">
      <c r="A4">
        <v>3</v>
      </c>
      <c r="B4" s="6">
        <v>9000000</v>
      </c>
      <c r="C4" s="6">
        <v>5635147</v>
      </c>
      <c r="D4">
        <f t="shared" si="0"/>
        <v>2254058.7999999998</v>
      </c>
      <c r="E4">
        <f t="shared" si="1"/>
        <v>3.7567646666666659</v>
      </c>
      <c r="F4">
        <f t="shared" si="2"/>
        <v>18</v>
      </c>
      <c r="G4">
        <f>IFERROR(B4+C4,0)</f>
        <v>14635147</v>
      </c>
      <c r="H4">
        <f>SUM($G$2:G4)</f>
        <v>43330411</v>
      </c>
      <c r="I4">
        <f t="shared" si="3"/>
        <v>35.371764081632648</v>
      </c>
      <c r="J4">
        <f t="shared" si="4"/>
        <v>57.128528748299317</v>
      </c>
      <c r="K4">
        <f t="shared" si="5"/>
        <v>171.38558624489795</v>
      </c>
    </row>
    <row r="5" spans="1:11">
      <c r="A5">
        <v>4</v>
      </c>
      <c r="B5" s="6">
        <v>9000000</v>
      </c>
      <c r="C5" s="6">
        <v>6241221</v>
      </c>
      <c r="D5">
        <f t="shared" si="0"/>
        <v>2496488.4</v>
      </c>
      <c r="E5">
        <f t="shared" si="1"/>
        <v>4.1608140000000002</v>
      </c>
      <c r="F5">
        <f t="shared" si="2"/>
        <v>18</v>
      </c>
      <c r="G5">
        <f>IFERROR(B5+C5,0)</f>
        <v>15241221</v>
      </c>
      <c r="H5">
        <f>SUM($G$2:G5)</f>
        <v>58571632</v>
      </c>
      <c r="I5">
        <f t="shared" si="3"/>
        <v>47.813577142857142</v>
      </c>
      <c r="J5">
        <f t="shared" si="4"/>
        <v>69.974391142857144</v>
      </c>
      <c r="K5">
        <f t="shared" si="5"/>
        <v>279.89756457142857</v>
      </c>
    </row>
    <row r="6" spans="1:11">
      <c r="A6">
        <v>5</v>
      </c>
      <c r="B6" s="6">
        <v>9000000</v>
      </c>
      <c r="C6" s="6">
        <v>6974420</v>
      </c>
      <c r="D6">
        <f t="shared" si="0"/>
        <v>2789768</v>
      </c>
      <c r="E6">
        <f t="shared" si="1"/>
        <v>4.6496133333333329</v>
      </c>
      <c r="F6">
        <f t="shared" si="2"/>
        <v>18</v>
      </c>
      <c r="G6">
        <f>IFERROR(B6+C6,0)</f>
        <v>15974420</v>
      </c>
      <c r="H6">
        <f>SUM($G$2:G6)</f>
        <v>74546052</v>
      </c>
      <c r="I6">
        <f t="shared" si="3"/>
        <v>60.853920000000009</v>
      </c>
      <c r="J6">
        <f t="shared" si="4"/>
        <v>83.503533333333351</v>
      </c>
      <c r="K6">
        <f t="shared" si="5"/>
        <v>417.51766666666674</v>
      </c>
    </row>
    <row r="7" spans="1:11">
      <c r="A7">
        <v>6</v>
      </c>
      <c r="B7" s="6">
        <v>9000000</v>
      </c>
      <c r="C7" s="6">
        <v>7930067</v>
      </c>
      <c r="D7">
        <f t="shared" si="0"/>
        <v>3172026.8</v>
      </c>
      <c r="E7">
        <f t="shared" si="1"/>
        <v>5.2867113333333329</v>
      </c>
      <c r="F7">
        <f t="shared" si="2"/>
        <v>18</v>
      </c>
      <c r="G7">
        <f>IFERROR(B7+C7,0)</f>
        <v>16930067</v>
      </c>
      <c r="H7">
        <f>SUM($G$2:G7)</f>
        <v>91476119</v>
      </c>
      <c r="I7">
        <f t="shared" si="3"/>
        <v>74.674382857142859</v>
      </c>
      <c r="J7">
        <f t="shared" si="4"/>
        <v>97.961094190476189</v>
      </c>
      <c r="K7">
        <f t="shared" si="5"/>
        <v>587.76656514285719</v>
      </c>
    </row>
    <row r="8" spans="1:11">
      <c r="A8">
        <v>7</v>
      </c>
      <c r="B8" s="6">
        <v>9000000</v>
      </c>
      <c r="C8" s="6">
        <v>5848248</v>
      </c>
      <c r="D8">
        <f t="shared" si="0"/>
        <v>2339299.2000000002</v>
      </c>
      <c r="E8">
        <f t="shared" si="1"/>
        <v>3.8988320000000001</v>
      </c>
      <c r="F8">
        <f t="shared" si="2"/>
        <v>18</v>
      </c>
      <c r="G8">
        <f>IFERROR(B8+C8,0)</f>
        <v>14848248</v>
      </c>
      <c r="H8">
        <f>SUM($G$2:G8)</f>
        <v>106324367</v>
      </c>
      <c r="I8">
        <f t="shared" si="3"/>
        <v>86.795401632653054</v>
      </c>
      <c r="J8">
        <f t="shared" si="4"/>
        <v>108.69423363265305</v>
      </c>
      <c r="K8">
        <f t="shared" si="5"/>
        <v>760.85963542857132</v>
      </c>
    </row>
    <row r="9" spans="1:11">
      <c r="A9">
        <v>8</v>
      </c>
      <c r="B9" s="6">
        <v>9000000</v>
      </c>
      <c r="C9" s="6">
        <v>4630203</v>
      </c>
      <c r="D9">
        <f t="shared" si="0"/>
        <v>1852081.2</v>
      </c>
      <c r="E9">
        <f t="shared" si="1"/>
        <v>3.086802</v>
      </c>
      <c r="F9">
        <f t="shared" si="2"/>
        <v>18</v>
      </c>
      <c r="G9">
        <f>IFERROR(B9+C9,0)</f>
        <v>13630203</v>
      </c>
      <c r="H9">
        <f>SUM($G$2:G9)</f>
        <v>119954570</v>
      </c>
      <c r="I9">
        <f t="shared" si="3"/>
        <v>97.922097959183674</v>
      </c>
      <c r="J9">
        <f t="shared" si="4"/>
        <v>119.00889995918368</v>
      </c>
      <c r="K9">
        <f t="shared" si="5"/>
        <v>952.07119967346944</v>
      </c>
    </row>
    <row r="10" spans="1:11">
      <c r="A10">
        <v>9</v>
      </c>
      <c r="B10" s="6">
        <v>9000000</v>
      </c>
      <c r="C10" s="6">
        <v>4655695</v>
      </c>
      <c r="D10">
        <f t="shared" si="0"/>
        <v>1862278</v>
      </c>
      <c r="E10">
        <f t="shared" si="1"/>
        <v>3.1037966666666668</v>
      </c>
      <c r="F10">
        <f t="shared" si="2"/>
        <v>18</v>
      </c>
      <c r="G10">
        <f>IFERROR(B10+C10,0)</f>
        <v>13655695</v>
      </c>
      <c r="H10">
        <f>SUM($G$2:G10)</f>
        <v>133610265</v>
      </c>
      <c r="I10">
        <f t="shared" si="3"/>
        <v>109.06960408163266</v>
      </c>
      <c r="J10">
        <f t="shared" si="4"/>
        <v>130.17340074829931</v>
      </c>
      <c r="K10">
        <f t="shared" si="5"/>
        <v>1171.5606067346939</v>
      </c>
    </row>
    <row r="11" spans="1:11">
      <c r="A11">
        <v>10</v>
      </c>
      <c r="B11" s="6">
        <v>9000000</v>
      </c>
      <c r="C11" s="6">
        <v>4505980</v>
      </c>
      <c r="D11">
        <f t="shared" si="0"/>
        <v>1802392</v>
      </c>
      <c r="E11">
        <f t="shared" si="1"/>
        <v>3.0039866666666666</v>
      </c>
      <c r="F11">
        <f t="shared" si="2"/>
        <v>18</v>
      </c>
      <c r="G11">
        <f>IFERROR(B11+C11,0)</f>
        <v>13505980</v>
      </c>
      <c r="H11">
        <f>SUM($G$2:G11)</f>
        <v>147116245</v>
      </c>
      <c r="I11">
        <f t="shared" si="3"/>
        <v>120.09489387755103</v>
      </c>
      <c r="J11">
        <f t="shared" si="4"/>
        <v>141.09888054421771</v>
      </c>
      <c r="K11">
        <f t="shared" si="5"/>
        <v>1410.9888054421772</v>
      </c>
    </row>
    <row r="12" spans="1:11">
      <c r="A12">
        <v>11</v>
      </c>
      <c r="B12" s="6">
        <v>9000000</v>
      </c>
      <c r="C12" s="6">
        <v>4367627</v>
      </c>
      <c r="D12">
        <f t="shared" si="0"/>
        <v>1747050.8</v>
      </c>
      <c r="E12">
        <f t="shared" si="1"/>
        <v>2.9117513333333331</v>
      </c>
      <c r="F12">
        <f t="shared" si="2"/>
        <v>18</v>
      </c>
      <c r="G12">
        <f>IFERROR(B12+C12,0)</f>
        <v>13367627</v>
      </c>
      <c r="H12">
        <f>SUM($G$2:G12)</f>
        <v>160483872</v>
      </c>
      <c r="I12">
        <f t="shared" si="3"/>
        <v>131.00724244897958</v>
      </c>
      <c r="J12">
        <f t="shared" si="4"/>
        <v>151.91899378231292</v>
      </c>
      <c r="K12">
        <f t="shared" si="5"/>
        <v>1671.1089316054422</v>
      </c>
    </row>
    <row r="13" spans="1:11">
      <c r="A13">
        <v>12</v>
      </c>
      <c r="B13" s="6">
        <v>9000000</v>
      </c>
      <c r="C13" s="6">
        <v>4277152</v>
      </c>
      <c r="D13">
        <f t="shared" si="0"/>
        <v>1710860.8</v>
      </c>
      <c r="E13">
        <f t="shared" si="1"/>
        <v>2.851434666666667</v>
      </c>
      <c r="F13">
        <f t="shared" si="2"/>
        <v>18</v>
      </c>
      <c r="G13">
        <f>IFERROR(B13+C13,0)</f>
        <v>13277152</v>
      </c>
      <c r="H13">
        <f>SUM($G$2:G13)</f>
        <v>173761024</v>
      </c>
      <c r="I13">
        <f t="shared" si="3"/>
        <v>141.845733877551</v>
      </c>
      <c r="J13">
        <f t="shared" si="4"/>
        <v>162.69716854421767</v>
      </c>
      <c r="K13">
        <f t="shared" si="5"/>
        <v>1952.3660225306121</v>
      </c>
    </row>
    <row r="14" spans="1:11">
      <c r="A14">
        <v>13</v>
      </c>
      <c r="B14" s="6">
        <v>9000000</v>
      </c>
      <c r="C14" s="6">
        <v>7621667</v>
      </c>
      <c r="D14">
        <f t="shared" si="0"/>
        <v>3048666.8</v>
      </c>
      <c r="E14">
        <f t="shared" si="1"/>
        <v>5.0811113333333324</v>
      </c>
      <c r="F14">
        <f t="shared" si="2"/>
        <v>18</v>
      </c>
      <c r="G14">
        <f>IFERROR(B14+C14,0)</f>
        <v>16621667</v>
      </c>
      <c r="H14">
        <f>SUM($G$2:G14)</f>
        <v>190382691</v>
      </c>
      <c r="I14">
        <f t="shared" si="3"/>
        <v>155.41444163265308</v>
      </c>
      <c r="J14">
        <f t="shared" si="4"/>
        <v>178.49555296598641</v>
      </c>
      <c r="K14">
        <f t="shared" si="5"/>
        <v>2320.4421885578231</v>
      </c>
    </row>
    <row r="15" spans="1:11">
      <c r="A15">
        <v>14</v>
      </c>
      <c r="B15" s="6">
        <v>8996573</v>
      </c>
      <c r="C15" s="6">
        <v>9003427</v>
      </c>
      <c r="D15">
        <f t="shared" si="0"/>
        <v>3601370.8</v>
      </c>
      <c r="E15">
        <f t="shared" si="1"/>
        <v>6.0022846666666663</v>
      </c>
      <c r="F15">
        <f t="shared" si="2"/>
        <v>17.993145999999999</v>
      </c>
      <c r="G15">
        <f>IFERROR(B15+C15,0)</f>
        <v>18000000</v>
      </c>
      <c r="H15">
        <f>SUM($G$2:G15)</f>
        <v>208382691</v>
      </c>
      <c r="I15">
        <f t="shared" si="3"/>
        <v>170.10831918367347</v>
      </c>
      <c r="J15">
        <f t="shared" si="4"/>
        <v>194.10374985034014</v>
      </c>
      <c r="K15">
        <f t="shared" si="5"/>
        <v>2717.4524979047619</v>
      </c>
    </row>
    <row r="16" spans="1:11">
      <c r="A16">
        <v>15</v>
      </c>
      <c r="B16" s="6">
        <v>9000000</v>
      </c>
      <c r="C16" s="6">
        <v>8678753</v>
      </c>
      <c r="D16">
        <f t="shared" si="0"/>
        <v>3471501.2</v>
      </c>
      <c r="E16">
        <f t="shared" si="1"/>
        <v>5.7858353333333339</v>
      </c>
      <c r="F16">
        <f t="shared" si="2"/>
        <v>18</v>
      </c>
      <c r="G16">
        <f>IFERROR(B16+C16,0)</f>
        <v>17678753</v>
      </c>
      <c r="H16">
        <f>SUM($G$2:G16)</f>
        <v>226061444</v>
      </c>
      <c r="I16">
        <f t="shared" si="3"/>
        <v>184.53995428571426</v>
      </c>
      <c r="J16">
        <f t="shared" si="4"/>
        <v>208.32578961904758</v>
      </c>
      <c r="K16">
        <f t="shared" si="5"/>
        <v>3124.8868442857138</v>
      </c>
    </row>
    <row r="17" spans="1:11">
      <c r="A17">
        <v>16</v>
      </c>
      <c r="B17" s="6">
        <v>7417702</v>
      </c>
      <c r="C17" s="6">
        <v>10582298</v>
      </c>
      <c r="D17">
        <f t="shared" si="0"/>
        <v>4232919.2</v>
      </c>
      <c r="E17">
        <f t="shared" si="1"/>
        <v>7.0548653333333338</v>
      </c>
      <c r="F17">
        <f t="shared" si="2"/>
        <v>14.835404</v>
      </c>
      <c r="G17">
        <f>IFERROR(B17+C17,0)</f>
        <v>18000000</v>
      </c>
      <c r="H17">
        <f>SUM($G$2:G17)</f>
        <v>244061444</v>
      </c>
      <c r="I17">
        <f t="shared" si="3"/>
        <v>199.23383183673468</v>
      </c>
      <c r="J17">
        <f t="shared" si="4"/>
        <v>221.12410117006803</v>
      </c>
      <c r="K17">
        <f t="shared" si="5"/>
        <v>3537.9856187210885</v>
      </c>
    </row>
    <row r="18" spans="1:11">
      <c r="A18">
        <v>17</v>
      </c>
      <c r="B18" s="6">
        <v>6003445</v>
      </c>
      <c r="C18" s="6">
        <v>11996555</v>
      </c>
      <c r="D18">
        <f t="shared" si="0"/>
        <v>4798622</v>
      </c>
      <c r="E18">
        <f t="shared" si="1"/>
        <v>7.9977033333333338</v>
      </c>
      <c r="F18">
        <f t="shared" si="2"/>
        <v>12.00689</v>
      </c>
      <c r="G18">
        <f>IFERROR(B18+C18,0)</f>
        <v>18000000</v>
      </c>
      <c r="H18">
        <f>SUM($G$2:G18)</f>
        <v>262061444</v>
      </c>
      <c r="I18">
        <f t="shared" si="3"/>
        <v>213.92770938775507</v>
      </c>
      <c r="J18">
        <f t="shared" si="4"/>
        <v>233.9323027210884</v>
      </c>
      <c r="K18">
        <f t="shared" si="5"/>
        <v>3976.849146258503</v>
      </c>
    </row>
    <row r="19" spans="1:11">
      <c r="A19">
        <v>18</v>
      </c>
      <c r="B19" s="6">
        <v>5563346</v>
      </c>
      <c r="C19" s="6">
        <v>12436654</v>
      </c>
      <c r="D19">
        <f t="shared" si="0"/>
        <v>4974661.5999999996</v>
      </c>
      <c r="E19">
        <f t="shared" si="1"/>
        <v>8.2911026666666654</v>
      </c>
      <c r="F19">
        <f t="shared" si="2"/>
        <v>11.126692</v>
      </c>
      <c r="G19">
        <f>IFERROR(B19+C19,0)</f>
        <v>18000000</v>
      </c>
      <c r="H19">
        <f>SUM($G$2:G19)</f>
        <v>280061444</v>
      </c>
      <c r="I19">
        <f t="shared" si="3"/>
        <v>228.62158693877552</v>
      </c>
      <c r="J19">
        <f t="shared" si="4"/>
        <v>248.03938160544217</v>
      </c>
      <c r="K19">
        <f t="shared" si="5"/>
        <v>4464.7088688979593</v>
      </c>
    </row>
    <row r="20" spans="1:11">
      <c r="A20">
        <v>19</v>
      </c>
      <c r="B20" s="6">
        <v>5819609</v>
      </c>
      <c r="C20" s="6">
        <v>12180391</v>
      </c>
      <c r="D20">
        <f t="shared" si="0"/>
        <v>4872156.4000000004</v>
      </c>
      <c r="E20">
        <f t="shared" si="1"/>
        <v>8.1202606666666668</v>
      </c>
      <c r="F20">
        <f t="shared" si="2"/>
        <v>11.639218</v>
      </c>
      <c r="G20">
        <f>IFERROR(B20+C20,0)</f>
        <v>18000000</v>
      </c>
      <c r="H20">
        <f>SUM($G$2:G20)</f>
        <v>298061444</v>
      </c>
      <c r="I20">
        <f t="shared" si="3"/>
        <v>243.31546448979591</v>
      </c>
      <c r="J20">
        <f t="shared" si="4"/>
        <v>263.07494315646261</v>
      </c>
      <c r="K20">
        <f t="shared" si="5"/>
        <v>4998.4239199727899</v>
      </c>
    </row>
    <row r="21" spans="1:11">
      <c r="A21">
        <v>20</v>
      </c>
      <c r="B21" s="6">
        <v>6135356</v>
      </c>
      <c r="C21" s="6">
        <v>11864644</v>
      </c>
      <c r="D21">
        <f t="shared" si="0"/>
        <v>4745857.5999999996</v>
      </c>
      <c r="E21">
        <f t="shared" si="1"/>
        <v>7.9097626666666665</v>
      </c>
      <c r="F21">
        <f t="shared" si="2"/>
        <v>12.270712</v>
      </c>
      <c r="G21">
        <f>IFERROR(B21+C21,0)</f>
        <v>18000000</v>
      </c>
      <c r="H21">
        <f>SUM($G$2:G21)</f>
        <v>316061444</v>
      </c>
      <c r="I21">
        <f t="shared" si="3"/>
        <v>258.00934204081631</v>
      </c>
      <c r="J21">
        <f t="shared" si="4"/>
        <v>278.18981670748298</v>
      </c>
      <c r="K21">
        <f t="shared" si="5"/>
        <v>5563.7963341496597</v>
      </c>
    </row>
    <row r="22" spans="1:11">
      <c r="A22">
        <v>21</v>
      </c>
      <c r="B22" s="6">
        <v>6098095</v>
      </c>
      <c r="C22" s="6">
        <v>11901905</v>
      </c>
      <c r="D22">
        <f t="shared" si="0"/>
        <v>4760762</v>
      </c>
      <c r="E22">
        <f t="shared" si="1"/>
        <v>7.9346033333333343</v>
      </c>
      <c r="F22">
        <f t="shared" si="2"/>
        <v>12.19619</v>
      </c>
      <c r="G22">
        <f>IFERROR(B22+C22,0)</f>
        <v>18000000</v>
      </c>
      <c r="H22">
        <f>SUM($G$2:G22)</f>
        <v>334061444</v>
      </c>
      <c r="I22">
        <f t="shared" si="3"/>
        <v>272.70321959183673</v>
      </c>
      <c r="J22">
        <f t="shared" si="4"/>
        <v>292.83401292517004</v>
      </c>
      <c r="K22">
        <f t="shared" si="5"/>
        <v>6149.5142714285712</v>
      </c>
    </row>
    <row r="23" spans="1:11">
      <c r="A23">
        <v>22</v>
      </c>
      <c r="B23" s="6">
        <v>5943362</v>
      </c>
      <c r="C23" s="6">
        <v>12056638</v>
      </c>
      <c r="D23">
        <f t="shared" si="0"/>
        <v>4822655.2</v>
      </c>
      <c r="E23">
        <f t="shared" si="1"/>
        <v>8.0377586666666669</v>
      </c>
      <c r="F23">
        <f t="shared" si="2"/>
        <v>11.886723999999999</v>
      </c>
      <c r="G23">
        <f t="shared" ref="G23:G25" si="6">IFERROR(B23+C23,0)</f>
        <v>18000000</v>
      </c>
      <c r="H23">
        <f>SUM($G$2:G23)</f>
        <v>352061444</v>
      </c>
      <c r="I23">
        <f t="shared" si="3"/>
        <v>287.39709714285715</v>
      </c>
      <c r="J23">
        <f t="shared" si="4"/>
        <v>307.32157980952383</v>
      </c>
      <c r="K23">
        <f t="shared" si="5"/>
        <v>6761.0747558095245</v>
      </c>
    </row>
    <row r="24" spans="1:11">
      <c r="A24">
        <v>23</v>
      </c>
      <c r="B24" s="6">
        <v>5766824</v>
      </c>
      <c r="C24" s="6">
        <v>12233176</v>
      </c>
      <c r="D24">
        <f t="shared" si="0"/>
        <v>4893270.4000000004</v>
      </c>
      <c r="E24">
        <f t="shared" si="1"/>
        <v>8.1554506666666668</v>
      </c>
      <c r="F24">
        <f t="shared" si="2"/>
        <v>11.533647999999999</v>
      </c>
      <c r="G24">
        <f t="shared" si="6"/>
        <v>18000000</v>
      </c>
      <c r="H24">
        <f>SUM($G$2:G24)</f>
        <v>370061444</v>
      </c>
      <c r="I24">
        <f t="shared" si="3"/>
        <v>302.09097469387751</v>
      </c>
      <c r="J24">
        <f t="shared" si="4"/>
        <v>321.78007336054418</v>
      </c>
      <c r="K24">
        <f t="shared" si="5"/>
        <v>7400.9416872925158</v>
      </c>
    </row>
    <row r="25" spans="1:11">
      <c r="A25">
        <v>24</v>
      </c>
      <c r="B25" s="6">
        <v>5355614</v>
      </c>
      <c r="C25" s="6">
        <v>12644386</v>
      </c>
      <c r="D25">
        <f t="shared" si="0"/>
        <v>5057754.4000000004</v>
      </c>
      <c r="E25">
        <f t="shared" si="1"/>
        <v>8.4295906666666678</v>
      </c>
      <c r="F25">
        <f t="shared" si="2"/>
        <v>10.711228</v>
      </c>
      <c r="G25">
        <f t="shared" si="6"/>
        <v>18000000</v>
      </c>
      <c r="H25">
        <f>SUM($G$2:G25)</f>
        <v>388061444</v>
      </c>
      <c r="I25">
        <f t="shared" si="3"/>
        <v>316.78485224489793</v>
      </c>
      <c r="J25">
        <f t="shared" si="4"/>
        <v>335.92567091156462</v>
      </c>
      <c r="K25">
        <f t="shared" si="5"/>
        <v>8062.2161018775514</v>
      </c>
    </row>
    <row r="26" spans="1:11">
      <c r="A26">
        <v>25</v>
      </c>
      <c r="B26" s="6">
        <v>5369789</v>
      </c>
      <c r="C26" s="6">
        <v>12630211</v>
      </c>
      <c r="D26">
        <f t="shared" si="0"/>
        <v>5052084.4000000004</v>
      </c>
      <c r="E26">
        <f t="shared" si="1"/>
        <v>8.4201406666666685</v>
      </c>
      <c r="F26">
        <f t="shared" ref="F26:F33" si="7">(B26*2)/1000000</f>
        <v>10.739578</v>
      </c>
      <c r="G26">
        <f t="shared" ref="G26:G33" si="8">IFERROR(B26+C26,0)</f>
        <v>18000000</v>
      </c>
      <c r="H26">
        <f>SUM($G$2:G26)</f>
        <v>406061444</v>
      </c>
      <c r="I26">
        <f t="shared" si="3"/>
        <v>331.47872979591835</v>
      </c>
      <c r="J26">
        <f t="shared" ref="J26:J33" si="9">I26+F26+E26</f>
        <v>350.63844846258502</v>
      </c>
      <c r="K26">
        <f t="shared" ref="K26:K33" si="10">A26*J26</f>
        <v>8765.961211564625</v>
      </c>
    </row>
    <row r="27" spans="1:11">
      <c r="A27">
        <v>26</v>
      </c>
      <c r="B27" s="6">
        <v>5183758</v>
      </c>
      <c r="C27" s="6">
        <v>12816242</v>
      </c>
      <c r="D27">
        <f t="shared" si="0"/>
        <v>5126496.8</v>
      </c>
      <c r="E27">
        <f t="shared" si="1"/>
        <v>8.5441613333333333</v>
      </c>
      <c r="F27">
        <f t="shared" si="7"/>
        <v>10.367516</v>
      </c>
      <c r="G27">
        <f t="shared" si="8"/>
        <v>18000000</v>
      </c>
      <c r="H27">
        <f>SUM($G$2:G27)</f>
        <v>424061444</v>
      </c>
      <c r="I27">
        <f t="shared" si="3"/>
        <v>346.17260734693878</v>
      </c>
      <c r="J27">
        <f t="shared" si="9"/>
        <v>365.08428468027211</v>
      </c>
      <c r="K27">
        <f t="shared" si="10"/>
        <v>9492.1914016870742</v>
      </c>
    </row>
    <row r="28" spans="1:11">
      <c r="A28">
        <v>27</v>
      </c>
      <c r="B28" s="6">
        <v>5126397</v>
      </c>
      <c r="C28" s="6">
        <v>12873603</v>
      </c>
      <c r="D28">
        <f t="shared" si="0"/>
        <v>5149441.2</v>
      </c>
      <c r="E28">
        <f t="shared" si="1"/>
        <v>8.5824020000000001</v>
      </c>
      <c r="F28">
        <f t="shared" si="7"/>
        <v>10.252794</v>
      </c>
      <c r="G28">
        <f t="shared" si="8"/>
        <v>18000000</v>
      </c>
      <c r="H28">
        <f>SUM($G$2:G28)</f>
        <v>442061444</v>
      </c>
      <c r="I28">
        <f t="shared" si="3"/>
        <v>360.8664848979592</v>
      </c>
      <c r="J28">
        <f t="shared" si="9"/>
        <v>379.70168089795919</v>
      </c>
      <c r="K28">
        <f t="shared" si="10"/>
        <v>10251.945384244898</v>
      </c>
    </row>
    <row r="29" spans="1:11">
      <c r="A29">
        <v>28</v>
      </c>
      <c r="B29" s="6">
        <v>5321158</v>
      </c>
      <c r="C29" s="6">
        <v>12678842</v>
      </c>
      <c r="D29">
        <f t="shared" si="0"/>
        <v>5071536.8</v>
      </c>
      <c r="E29">
        <f t="shared" si="1"/>
        <v>8.4525613333333336</v>
      </c>
      <c r="F29">
        <f t="shared" si="7"/>
        <v>10.642315999999999</v>
      </c>
      <c r="G29">
        <f t="shared" si="8"/>
        <v>18000000</v>
      </c>
      <c r="H29">
        <f>SUM($G$2:G29)</f>
        <v>460061444</v>
      </c>
      <c r="I29">
        <f t="shared" si="3"/>
        <v>375.56036244897956</v>
      </c>
      <c r="J29">
        <f t="shared" si="9"/>
        <v>394.65523978231289</v>
      </c>
      <c r="K29">
        <f t="shared" si="10"/>
        <v>11050.346713904761</v>
      </c>
    </row>
    <row r="30" spans="1:11">
      <c r="A30">
        <v>29</v>
      </c>
      <c r="B30" s="6">
        <v>4667733</v>
      </c>
      <c r="C30" s="6">
        <v>13332267</v>
      </c>
      <c r="D30">
        <f t="shared" si="0"/>
        <v>5332906.8</v>
      </c>
      <c r="E30">
        <f t="shared" si="1"/>
        <v>8.8881779999999999</v>
      </c>
      <c r="F30">
        <f t="shared" si="7"/>
        <v>9.3354660000000003</v>
      </c>
      <c r="G30">
        <f t="shared" si="8"/>
        <v>18000000</v>
      </c>
      <c r="H30">
        <f>SUM($G$2:G30)</f>
        <v>478061444</v>
      </c>
      <c r="I30">
        <f t="shared" si="3"/>
        <v>390.25423999999998</v>
      </c>
      <c r="J30">
        <f t="shared" si="9"/>
        <v>408.47788399999996</v>
      </c>
      <c r="K30">
        <f t="shared" si="10"/>
        <v>11845.858635999999</v>
      </c>
    </row>
    <row r="31" spans="1:11">
      <c r="A31">
        <v>30</v>
      </c>
      <c r="B31" s="6">
        <v>5686162</v>
      </c>
      <c r="C31" s="6">
        <v>12313838</v>
      </c>
      <c r="D31">
        <f t="shared" si="0"/>
        <v>4925535.2</v>
      </c>
      <c r="E31">
        <f t="shared" si="1"/>
        <v>8.2092253333333343</v>
      </c>
      <c r="F31">
        <f t="shared" si="7"/>
        <v>11.372324000000001</v>
      </c>
      <c r="G31">
        <f t="shared" si="8"/>
        <v>18000000</v>
      </c>
      <c r="H31">
        <f>SUM($G$2:G31)</f>
        <v>496061444</v>
      </c>
      <c r="I31">
        <f t="shared" si="3"/>
        <v>404.9481175510204</v>
      </c>
      <c r="J31">
        <f t="shared" si="9"/>
        <v>424.52966688435373</v>
      </c>
      <c r="K31">
        <f t="shared" si="10"/>
        <v>12735.890006530612</v>
      </c>
    </row>
    <row r="32" spans="1:11">
      <c r="A32">
        <v>31</v>
      </c>
      <c r="B32" s="6">
        <v>6668467</v>
      </c>
      <c r="C32" s="6">
        <v>11331533</v>
      </c>
      <c r="D32">
        <f t="shared" si="0"/>
        <v>4532613.2</v>
      </c>
      <c r="E32">
        <f t="shared" si="1"/>
        <v>7.5543553333333326</v>
      </c>
      <c r="F32">
        <f t="shared" si="7"/>
        <v>13.336933999999999</v>
      </c>
      <c r="G32">
        <f t="shared" si="8"/>
        <v>18000000</v>
      </c>
      <c r="H32">
        <f>SUM($G$2:G32)</f>
        <v>514061444</v>
      </c>
      <c r="I32">
        <f t="shared" si="3"/>
        <v>419.64199510204082</v>
      </c>
      <c r="J32">
        <f t="shared" si="9"/>
        <v>440.53328443537413</v>
      </c>
      <c r="K32">
        <f t="shared" si="10"/>
        <v>13656.531817496598</v>
      </c>
    </row>
    <row r="33" spans="1:11">
      <c r="A33">
        <v>32</v>
      </c>
      <c r="B33" s="6">
        <v>1594690</v>
      </c>
      <c r="C33" s="6">
        <v>1120826</v>
      </c>
      <c r="D33">
        <f t="shared" si="0"/>
        <v>448330.4</v>
      </c>
      <c r="E33">
        <f t="shared" si="1"/>
        <v>0.7472173333333334</v>
      </c>
      <c r="F33">
        <f t="shared" si="7"/>
        <v>3.1893799999999999</v>
      </c>
      <c r="G33">
        <f t="shared" si="8"/>
        <v>2715516</v>
      </c>
      <c r="H33">
        <f>SUM($G$2:G33)</f>
        <v>516776960</v>
      </c>
      <c r="I33">
        <f t="shared" si="3"/>
        <v>421.85874285714283</v>
      </c>
      <c r="J33">
        <f t="shared" si="9"/>
        <v>425.79534019047617</v>
      </c>
      <c r="K33">
        <f t="shared" si="10"/>
        <v>13625.450886095237</v>
      </c>
    </row>
    <row r="34" spans="1:11">
      <c r="B34" s="6"/>
      <c r="C34" s="6"/>
    </row>
    <row r="35" spans="1:11">
      <c r="C35" s="5">
        <f>SUM(C2:C33)</f>
        <v>288058880</v>
      </c>
    </row>
    <row r="37" spans="1:11">
      <c r="H37" s="14" t="s">
        <v>37</v>
      </c>
      <c r="I37" t="s">
        <v>2</v>
      </c>
      <c r="J37" s="15">
        <f>MAX(K2:K33)</f>
        <v>13656.531817496598</v>
      </c>
    </row>
    <row r="38" spans="1:11">
      <c r="I38" t="s">
        <v>3</v>
      </c>
      <c r="J38" s="15">
        <f>MAX(J2:J33)</f>
        <v>440.53328443537413</v>
      </c>
    </row>
    <row r="42" spans="1:11">
      <c r="A42" s="6"/>
      <c r="B42" s="7"/>
      <c r="C42" s="7"/>
      <c r="D42" s="6"/>
      <c r="E42" s="6"/>
      <c r="F42" s="7"/>
    </row>
    <row r="43" spans="1:11" ht="15.75" thickBot="1">
      <c r="A43" s="6"/>
      <c r="B43" s="7"/>
      <c r="C43" s="7"/>
      <c r="D43" s="6"/>
      <c r="E43" s="6"/>
      <c r="F43" s="7"/>
    </row>
    <row r="44" spans="1:11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1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1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1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1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>
        <v>1</v>
      </c>
      <c r="B58" s="6">
        <v>9000000</v>
      </c>
      <c r="C58" s="6">
        <v>5360182</v>
      </c>
      <c r="D58" s="6">
        <v>0.6</v>
      </c>
      <c r="E58" s="6">
        <v>2.3689</v>
      </c>
      <c r="F58" s="6">
        <v>766347273</v>
      </c>
      <c r="G58" s="6">
        <v>696679339</v>
      </c>
    </row>
    <row r="59" spans="1:9">
      <c r="A59" s="6">
        <v>2</v>
      </c>
      <c r="B59" s="6">
        <v>9000000</v>
      </c>
      <c r="C59" s="6">
        <v>5335082</v>
      </c>
      <c r="D59" s="6">
        <v>0.59</v>
      </c>
      <c r="E59" s="6">
        <v>1.7346999999999999</v>
      </c>
      <c r="F59" s="6">
        <v>502266005</v>
      </c>
      <c r="G59" s="6">
        <v>415095872</v>
      </c>
    </row>
    <row r="60" spans="1:9">
      <c r="A60" s="6">
        <v>3</v>
      </c>
      <c r="B60" s="6">
        <v>9000000</v>
      </c>
      <c r="C60" s="6">
        <v>5635147</v>
      </c>
      <c r="D60" s="6">
        <v>0.63</v>
      </c>
      <c r="E60" s="6">
        <v>1.9679</v>
      </c>
      <c r="F60" s="6">
        <v>598425559</v>
      </c>
      <c r="G60" s="6">
        <v>449605980</v>
      </c>
    </row>
    <row r="61" spans="1:9">
      <c r="A61" s="6">
        <v>4</v>
      </c>
      <c r="B61" s="6">
        <v>9000000</v>
      </c>
      <c r="C61" s="6">
        <v>6241221</v>
      </c>
      <c r="D61" s="6">
        <v>0.69</v>
      </c>
      <c r="E61" s="6">
        <v>2.4211</v>
      </c>
      <c r="F61" s="6">
        <v>785165705</v>
      </c>
      <c r="G61" s="6">
        <v>536278741</v>
      </c>
    </row>
    <row r="62" spans="1:9">
      <c r="A62" s="6">
        <v>5</v>
      </c>
      <c r="B62" s="6">
        <v>9000000</v>
      </c>
      <c r="C62" s="6">
        <v>6974420</v>
      </c>
      <c r="D62" s="6">
        <v>0.77</v>
      </c>
      <c r="E62" s="6">
        <v>2.5345</v>
      </c>
      <c r="F62" s="6">
        <v>830022752</v>
      </c>
      <c r="G62" s="6">
        <v>515378826</v>
      </c>
    </row>
    <row r="63" spans="1:9">
      <c r="A63" s="6">
        <v>6</v>
      </c>
      <c r="B63" s="6">
        <v>9000000</v>
      </c>
      <c r="C63" s="6">
        <v>7930067</v>
      </c>
      <c r="D63" s="6">
        <v>0.88</v>
      </c>
      <c r="E63" s="6">
        <v>2.4630000000000001</v>
      </c>
      <c r="F63" s="6">
        <v>797090404</v>
      </c>
      <c r="G63" s="6">
        <v>449936753</v>
      </c>
    </row>
    <row r="64" spans="1:9">
      <c r="A64" s="6">
        <v>7</v>
      </c>
      <c r="B64" s="6">
        <v>9000000</v>
      </c>
      <c r="C64" s="6">
        <v>5848248</v>
      </c>
      <c r="D64" s="6">
        <v>0.65</v>
      </c>
      <c r="E64" s="6">
        <v>2.5015999999999998</v>
      </c>
      <c r="F64" s="6">
        <v>819983786</v>
      </c>
      <c r="G64" s="6">
        <v>420781336</v>
      </c>
    </row>
    <row r="65" spans="1:7">
      <c r="A65" s="6">
        <v>8</v>
      </c>
      <c r="B65" s="6">
        <v>9000000</v>
      </c>
      <c r="C65" s="6">
        <v>4630203</v>
      </c>
      <c r="D65" s="6">
        <v>0.51</v>
      </c>
      <c r="E65" s="6">
        <v>2.3671000000000002</v>
      </c>
      <c r="F65" s="6">
        <v>767966144</v>
      </c>
      <c r="G65" s="6">
        <v>358261874</v>
      </c>
    </row>
    <row r="66" spans="1:7">
      <c r="A66" s="6">
        <v>9</v>
      </c>
      <c r="B66" s="6">
        <v>9000000</v>
      </c>
      <c r="C66" s="6">
        <v>4655695</v>
      </c>
      <c r="D66" s="6">
        <v>0.52</v>
      </c>
      <c r="E66" s="6">
        <v>2.3622999999999998</v>
      </c>
      <c r="F66" s="6">
        <v>765873853</v>
      </c>
      <c r="G66" s="6">
        <v>324805277</v>
      </c>
    </row>
    <row r="67" spans="1:7">
      <c r="A67" s="6">
        <v>10</v>
      </c>
      <c r="B67" s="6">
        <v>9000000</v>
      </c>
      <c r="C67" s="6">
        <v>4505980</v>
      </c>
      <c r="D67" s="6">
        <v>0.5</v>
      </c>
      <c r="E67" s="6">
        <v>2.3797999999999999</v>
      </c>
      <c r="F67" s="6">
        <v>773692752</v>
      </c>
      <c r="G67" s="6">
        <v>298292049</v>
      </c>
    </row>
    <row r="68" spans="1:7">
      <c r="A68" s="6">
        <v>11</v>
      </c>
      <c r="B68" s="6">
        <v>9000000</v>
      </c>
      <c r="C68" s="6">
        <v>4367627</v>
      </c>
      <c r="D68" s="6">
        <v>0.49</v>
      </c>
      <c r="E68" s="6">
        <v>2.4643000000000002</v>
      </c>
      <c r="F68" s="6">
        <v>809315317</v>
      </c>
      <c r="G68" s="6">
        <v>283660081</v>
      </c>
    </row>
    <row r="69" spans="1:7">
      <c r="A69" s="6">
        <v>12</v>
      </c>
      <c r="B69" s="6">
        <v>9000000</v>
      </c>
      <c r="C69" s="6">
        <v>4277152</v>
      </c>
      <c r="D69" s="6">
        <v>0.48</v>
      </c>
      <c r="E69" s="6">
        <v>2.5577000000000001</v>
      </c>
      <c r="F69" s="6">
        <v>848533327</v>
      </c>
      <c r="G69" s="6">
        <v>270368868</v>
      </c>
    </row>
    <row r="70" spans="1:7">
      <c r="A70" s="6">
        <v>13</v>
      </c>
      <c r="B70" s="6">
        <v>9000000</v>
      </c>
      <c r="C70" s="6">
        <v>7621667</v>
      </c>
      <c r="D70" s="6">
        <v>0.85</v>
      </c>
      <c r="E70" s="6">
        <v>3.01</v>
      </c>
      <c r="F70" s="6">
        <v>1025952351</v>
      </c>
      <c r="G70" s="6">
        <v>297181852</v>
      </c>
    </row>
    <row r="71" spans="1:7">
      <c r="A71" s="6">
        <v>14</v>
      </c>
      <c r="B71" s="6">
        <v>8996573</v>
      </c>
      <c r="C71" s="6">
        <v>9003427</v>
      </c>
      <c r="D71" s="6">
        <v>1</v>
      </c>
      <c r="E71" s="6">
        <v>1.8813</v>
      </c>
      <c r="F71" s="6">
        <v>551071270</v>
      </c>
      <c r="G71" s="6">
        <v>145114289</v>
      </c>
    </row>
    <row r="72" spans="1:7">
      <c r="A72" s="6">
        <v>15</v>
      </c>
      <c r="B72" s="6">
        <v>9000000</v>
      </c>
      <c r="C72" s="6">
        <v>8678753</v>
      </c>
      <c r="D72" s="6">
        <v>0.96</v>
      </c>
      <c r="E72" s="6">
        <v>1.0173000000000001</v>
      </c>
      <c r="F72" s="6">
        <v>192493902</v>
      </c>
      <c r="G72" s="6">
        <v>46081510</v>
      </c>
    </row>
    <row r="73" spans="1:7">
      <c r="A73" s="6">
        <v>16</v>
      </c>
      <c r="B73" s="6">
        <v>7417702</v>
      </c>
      <c r="C73" s="6">
        <v>10582298</v>
      </c>
      <c r="D73" s="6">
        <v>1.43</v>
      </c>
      <c r="E73" s="6">
        <v>1.1664000000000001</v>
      </c>
      <c r="F73" s="6">
        <v>198578103</v>
      </c>
      <c r="G73" s="6">
        <v>43216381</v>
      </c>
    </row>
    <row r="74" spans="1:7">
      <c r="A74" s="6">
        <v>17</v>
      </c>
      <c r="B74" s="6">
        <v>6003445</v>
      </c>
      <c r="C74" s="6">
        <v>11996555</v>
      </c>
      <c r="D74" s="6">
        <v>2</v>
      </c>
      <c r="E74" s="6">
        <v>1.1085</v>
      </c>
      <c r="F74" s="6">
        <v>133366618</v>
      </c>
      <c r="G74" s="6">
        <v>26385874</v>
      </c>
    </row>
    <row r="75" spans="1:7">
      <c r="A75" s="6">
        <v>18</v>
      </c>
      <c r="B75" s="6">
        <v>5563346</v>
      </c>
      <c r="C75" s="6">
        <v>12436654</v>
      </c>
      <c r="D75" s="6">
        <v>2.2400000000000002</v>
      </c>
      <c r="E75" s="6">
        <v>1.0622</v>
      </c>
      <c r="F75" s="6">
        <v>107352932</v>
      </c>
      <c r="G75" s="6">
        <v>19308368</v>
      </c>
    </row>
    <row r="76" spans="1:7">
      <c r="A76" s="6">
        <v>19</v>
      </c>
      <c r="B76" s="6">
        <v>5819609</v>
      </c>
      <c r="C76" s="6">
        <v>12180391</v>
      </c>
      <c r="D76" s="6">
        <v>2.09</v>
      </c>
      <c r="E76" s="6">
        <v>1.1284000000000001</v>
      </c>
      <c r="F76" s="6">
        <v>132836282</v>
      </c>
      <c r="G76" s="6">
        <v>21719794</v>
      </c>
    </row>
    <row r="77" spans="1:7">
      <c r="A77" s="6">
        <v>20</v>
      </c>
      <c r="B77" s="6">
        <v>6135356</v>
      </c>
      <c r="C77" s="6">
        <v>11864644</v>
      </c>
      <c r="D77" s="6">
        <v>1.93</v>
      </c>
      <c r="E77" s="6">
        <v>1.1914</v>
      </c>
      <c r="F77" s="6">
        <v>161133431</v>
      </c>
      <c r="G77" s="6">
        <v>23951458</v>
      </c>
    </row>
    <row r="78" spans="1:7">
      <c r="A78" s="6">
        <v>21</v>
      </c>
      <c r="B78" s="6">
        <v>6098095</v>
      </c>
      <c r="C78" s="6">
        <v>11901905</v>
      </c>
      <c r="D78" s="6">
        <v>1.95</v>
      </c>
      <c r="E78" s="6">
        <v>1.1916</v>
      </c>
      <c r="F78" s="6">
        <v>159848612</v>
      </c>
      <c r="G78" s="6">
        <v>21600434</v>
      </c>
    </row>
    <row r="79" spans="1:7">
      <c r="A79" s="6">
        <v>22</v>
      </c>
      <c r="B79" s="6">
        <v>5943362</v>
      </c>
      <c r="C79" s="6">
        <v>12056638</v>
      </c>
      <c r="D79" s="6">
        <v>2.0299999999999998</v>
      </c>
      <c r="E79" s="6">
        <v>1.2044999999999999</v>
      </c>
      <c r="F79" s="6">
        <v>157855722</v>
      </c>
      <c r="G79" s="6">
        <v>19391940</v>
      </c>
    </row>
    <row r="80" spans="1:7">
      <c r="A80" s="6">
        <v>23</v>
      </c>
      <c r="B80" s="6">
        <v>5766824</v>
      </c>
      <c r="C80" s="6">
        <v>12233176</v>
      </c>
      <c r="D80" s="6">
        <v>2.12</v>
      </c>
      <c r="E80" s="6">
        <v>1.2215</v>
      </c>
      <c r="F80" s="6">
        <v>155957055</v>
      </c>
      <c r="G80" s="6">
        <v>17416997</v>
      </c>
    </row>
    <row r="81" spans="1:7">
      <c r="A81" s="6">
        <v>24</v>
      </c>
      <c r="B81" s="6">
        <v>5355614</v>
      </c>
      <c r="C81" s="6">
        <v>12644386</v>
      </c>
      <c r="D81" s="6">
        <v>2.36</v>
      </c>
      <c r="E81" s="6">
        <v>1.2164999999999999</v>
      </c>
      <c r="F81" s="6">
        <v>139382016</v>
      </c>
      <c r="G81" s="6">
        <v>14150842</v>
      </c>
    </row>
    <row r="82" spans="1:7">
      <c r="A82" s="6">
        <v>25</v>
      </c>
      <c r="B82" s="6">
        <v>5369789</v>
      </c>
      <c r="C82" s="6">
        <v>12630211</v>
      </c>
      <c r="D82" s="6">
        <v>2.35</v>
      </c>
      <c r="E82" s="6">
        <v>1.2678</v>
      </c>
      <c r="F82" s="6">
        <v>152651650</v>
      </c>
      <c r="G82" s="6">
        <v>14089136</v>
      </c>
    </row>
    <row r="83" spans="1:7">
      <c r="A83" s="6">
        <v>26</v>
      </c>
      <c r="B83" s="6">
        <v>5183758</v>
      </c>
      <c r="C83" s="6">
        <v>12816242</v>
      </c>
      <c r="D83" s="6">
        <v>2.4700000000000002</v>
      </c>
      <c r="E83" s="6">
        <v>1.3520000000000001</v>
      </c>
      <c r="F83" s="6">
        <v>165515903</v>
      </c>
      <c r="G83" s="6">
        <v>13887687</v>
      </c>
    </row>
    <row r="84" spans="1:7">
      <c r="A84" s="6">
        <v>27</v>
      </c>
      <c r="B84" s="6">
        <v>5126397</v>
      </c>
      <c r="C84" s="6">
        <v>12873603</v>
      </c>
      <c r="D84" s="6">
        <v>2.5099999999999998</v>
      </c>
      <c r="E84" s="6">
        <v>1.4231</v>
      </c>
      <c r="F84" s="6">
        <v>179896391</v>
      </c>
      <c r="G84" s="6">
        <v>13722080</v>
      </c>
    </row>
    <row r="85" spans="1:7">
      <c r="A85" s="6">
        <v>28</v>
      </c>
      <c r="B85" s="6">
        <v>5321158</v>
      </c>
      <c r="C85" s="6">
        <v>12678842</v>
      </c>
      <c r="D85" s="6">
        <v>2.38</v>
      </c>
      <c r="E85" s="6">
        <v>1.5150999999999999</v>
      </c>
      <c r="F85" s="6">
        <v>211646538</v>
      </c>
      <c r="G85" s="6">
        <v>14676280</v>
      </c>
    </row>
    <row r="86" spans="1:7">
      <c r="A86" s="6">
        <v>29</v>
      </c>
      <c r="B86" s="6">
        <v>4667733</v>
      </c>
      <c r="C86" s="6">
        <v>13332267</v>
      </c>
      <c r="D86" s="6">
        <v>2.86</v>
      </c>
      <c r="E86" s="6">
        <v>1.7242999999999999</v>
      </c>
      <c r="F86" s="6">
        <v>223588024</v>
      </c>
      <c r="G86" s="6">
        <v>14094857</v>
      </c>
    </row>
    <row r="87" spans="1:7">
      <c r="A87" s="6">
        <v>30</v>
      </c>
      <c r="B87" s="6">
        <v>5686162</v>
      </c>
      <c r="C87" s="6">
        <v>12313838</v>
      </c>
      <c r="D87" s="6">
        <v>2.17</v>
      </c>
      <c r="E87" s="6">
        <v>1.8346</v>
      </c>
      <c r="F87" s="6">
        <v>314275482</v>
      </c>
      <c r="G87" s="6">
        <v>18010673</v>
      </c>
    </row>
    <row r="88" spans="1:7">
      <c r="A88" s="6">
        <v>31</v>
      </c>
      <c r="B88" s="6">
        <v>6668467</v>
      </c>
      <c r="C88" s="6">
        <v>11331533</v>
      </c>
      <c r="D88" s="6">
        <v>1.7</v>
      </c>
      <c r="E88" s="6">
        <v>1.7583</v>
      </c>
      <c r="F88" s="6">
        <v>355220937</v>
      </c>
      <c r="G88" s="6">
        <v>18506544</v>
      </c>
    </row>
    <row r="89" spans="1:7">
      <c r="A89" s="6">
        <v>32</v>
      </c>
      <c r="B89" s="6">
        <v>1594690</v>
      </c>
      <c r="C89" s="6">
        <v>1120826</v>
      </c>
      <c r="D89" s="6">
        <v>0.7</v>
      </c>
      <c r="E89" s="6">
        <v>3.1280999999999999</v>
      </c>
      <c r="F89" s="6">
        <v>191252770</v>
      </c>
      <c r="G89" s="6">
        <v>9797160</v>
      </c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90"/>
  <sheetViews>
    <sheetView workbookViewId="0">
      <selection sqref="A1:XFD1048576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14500000</v>
      </c>
      <c r="C2" s="6">
        <v>8656708</v>
      </c>
      <c r="D2">
        <f>C2/2.5</f>
        <v>3462683.2</v>
      </c>
      <c r="E2">
        <f>(D2/60)/10000</f>
        <v>5.7711386666666673</v>
      </c>
      <c r="F2">
        <f>(B2*2)/1000000</f>
        <v>29</v>
      </c>
      <c r="G2">
        <f>IFERROR(B2+C2,0)</f>
        <v>23156708</v>
      </c>
      <c r="H2">
        <f>SUM($G$2:G2)</f>
        <v>23156708</v>
      </c>
      <c r="I2">
        <f>((H2/2.5)/48)/10000</f>
        <v>19.297256666666666</v>
      </c>
      <c r="J2">
        <f>I2+F2+E2</f>
        <v>54.068395333333335</v>
      </c>
      <c r="K2">
        <f>A2*J2</f>
        <v>54.068395333333335</v>
      </c>
    </row>
    <row r="3" spans="1:11">
      <c r="A3">
        <v>2</v>
      </c>
      <c r="B3" s="6">
        <v>14500000</v>
      </c>
      <c r="C3" s="6">
        <v>9105575</v>
      </c>
      <c r="D3">
        <f t="shared" ref="D3:D33" si="0">C3/2.5</f>
        <v>3642230</v>
      </c>
      <c r="E3">
        <f t="shared" ref="E3:E33" si="1">(D3/60)/10000</f>
        <v>6.0703833333333339</v>
      </c>
      <c r="F3">
        <f t="shared" ref="F3:F34" si="2">(B3*2)/1000000</f>
        <v>29</v>
      </c>
      <c r="G3">
        <f>IFERROR(B3+C3,0)</f>
        <v>23605575</v>
      </c>
      <c r="H3">
        <f>SUM($G$2:G3)</f>
        <v>46762283</v>
      </c>
      <c r="I3">
        <f t="shared" ref="I3:I21" si="3">((H3/2.5)/48)/10000</f>
        <v>38.968569166666668</v>
      </c>
      <c r="J3">
        <f t="shared" ref="J3:J33" si="4">I3+F3+E3</f>
        <v>74.038952500000008</v>
      </c>
      <c r="K3">
        <f t="shared" ref="K3:K33" si="5">A3*J3</f>
        <v>148.07790500000002</v>
      </c>
    </row>
    <row r="4" spans="1:11">
      <c r="A4">
        <v>3</v>
      </c>
      <c r="B4" s="6">
        <v>13877356</v>
      </c>
      <c r="C4" s="6">
        <v>10122644</v>
      </c>
      <c r="D4">
        <f t="shared" si="0"/>
        <v>4049057.6</v>
      </c>
      <c r="E4">
        <f t="shared" si="1"/>
        <v>6.7484293333333332</v>
      </c>
      <c r="F4">
        <f t="shared" si="2"/>
        <v>27.754712000000001</v>
      </c>
      <c r="G4">
        <f>IFERROR(B4+C4,0)</f>
        <v>24000000</v>
      </c>
      <c r="H4">
        <f>SUM($G$2:G4)</f>
        <v>70762283</v>
      </c>
      <c r="I4">
        <f t="shared" si="3"/>
        <v>58.968569166666668</v>
      </c>
      <c r="J4">
        <f t="shared" si="4"/>
        <v>93.4717105</v>
      </c>
      <c r="K4">
        <f t="shared" si="5"/>
        <v>280.41513150000003</v>
      </c>
    </row>
    <row r="5" spans="1:11">
      <c r="A5">
        <v>4</v>
      </c>
      <c r="B5" s="6">
        <v>13012141</v>
      </c>
      <c r="C5" s="6">
        <v>10987859</v>
      </c>
      <c r="D5">
        <f t="shared" si="0"/>
        <v>4395143.5999999996</v>
      </c>
      <c r="E5">
        <f t="shared" si="1"/>
        <v>7.3252393333333323</v>
      </c>
      <c r="F5">
        <f t="shared" si="2"/>
        <v>26.024281999999999</v>
      </c>
      <c r="G5">
        <f>IFERROR(B5+C5,0)</f>
        <v>24000000</v>
      </c>
      <c r="H5">
        <f>SUM($G$2:G5)</f>
        <v>94762283</v>
      </c>
      <c r="I5">
        <f t="shared" si="3"/>
        <v>78.968569166666683</v>
      </c>
      <c r="J5">
        <f t="shared" si="4"/>
        <v>112.31809050000001</v>
      </c>
      <c r="K5">
        <f t="shared" si="5"/>
        <v>449.27236200000004</v>
      </c>
    </row>
    <row r="6" spans="1:11">
      <c r="A6">
        <v>5</v>
      </c>
      <c r="B6" s="6">
        <v>14500000</v>
      </c>
      <c r="C6" s="6">
        <v>8393196</v>
      </c>
      <c r="D6">
        <f t="shared" si="0"/>
        <v>3357278.4</v>
      </c>
      <c r="E6">
        <f t="shared" si="1"/>
        <v>5.5954639999999998</v>
      </c>
      <c r="F6">
        <f t="shared" si="2"/>
        <v>29</v>
      </c>
      <c r="G6">
        <f>IFERROR(B6+C6,0)</f>
        <v>22893196</v>
      </c>
      <c r="H6">
        <f>SUM($G$2:G6)</f>
        <v>117655479</v>
      </c>
      <c r="I6">
        <f t="shared" si="3"/>
        <v>98.046232500000002</v>
      </c>
      <c r="J6">
        <f t="shared" si="4"/>
        <v>132.64169649999999</v>
      </c>
      <c r="K6">
        <f t="shared" si="5"/>
        <v>663.20848249999995</v>
      </c>
    </row>
    <row r="7" spans="1:11">
      <c r="A7">
        <v>6</v>
      </c>
      <c r="B7" s="6">
        <v>14500000</v>
      </c>
      <c r="C7" s="6">
        <v>8868128</v>
      </c>
      <c r="D7">
        <f t="shared" si="0"/>
        <v>3547251.2</v>
      </c>
      <c r="E7">
        <f t="shared" si="1"/>
        <v>5.9120853333333336</v>
      </c>
      <c r="F7">
        <f t="shared" si="2"/>
        <v>29</v>
      </c>
      <c r="G7">
        <f>IFERROR(B7+C7,0)</f>
        <v>23368128</v>
      </c>
      <c r="H7">
        <f>SUM($G$2:G7)</f>
        <v>141023607</v>
      </c>
      <c r="I7">
        <f t="shared" si="3"/>
        <v>117.51967249999998</v>
      </c>
      <c r="J7">
        <f t="shared" si="4"/>
        <v>152.43175783333331</v>
      </c>
      <c r="K7">
        <f t="shared" si="5"/>
        <v>914.59054699999979</v>
      </c>
    </row>
    <row r="8" spans="1:11">
      <c r="A8">
        <v>7</v>
      </c>
      <c r="B8" s="6">
        <v>14500000</v>
      </c>
      <c r="C8" s="6">
        <v>7064467</v>
      </c>
      <c r="D8">
        <f t="shared" si="0"/>
        <v>2825786.8</v>
      </c>
      <c r="E8">
        <f t="shared" si="1"/>
        <v>4.7096446666666667</v>
      </c>
      <c r="F8">
        <f t="shared" si="2"/>
        <v>29</v>
      </c>
      <c r="G8">
        <f>IFERROR(B8+C8,0)</f>
        <v>21564467</v>
      </c>
      <c r="H8">
        <f>SUM($G$2:G8)</f>
        <v>162588074</v>
      </c>
      <c r="I8">
        <f t="shared" si="3"/>
        <v>135.49006166666666</v>
      </c>
      <c r="J8">
        <f t="shared" si="4"/>
        <v>169.19970633333332</v>
      </c>
      <c r="K8">
        <f t="shared" si="5"/>
        <v>1184.3979443333333</v>
      </c>
    </row>
    <row r="9" spans="1:11">
      <c r="A9">
        <v>8</v>
      </c>
      <c r="B9" s="6">
        <v>14500000</v>
      </c>
      <c r="C9" s="6">
        <v>9304738</v>
      </c>
      <c r="D9">
        <f t="shared" si="0"/>
        <v>3721895.2</v>
      </c>
      <c r="E9">
        <f t="shared" si="1"/>
        <v>6.2031586666666669</v>
      </c>
      <c r="F9">
        <f t="shared" si="2"/>
        <v>29</v>
      </c>
      <c r="G9">
        <f>IFERROR(B9+C9,0)</f>
        <v>23804738</v>
      </c>
      <c r="H9">
        <f>SUM($G$2:G9)</f>
        <v>186392812</v>
      </c>
      <c r="I9">
        <f t="shared" si="3"/>
        <v>155.32734333333335</v>
      </c>
      <c r="J9">
        <f t="shared" si="4"/>
        <v>190.53050200000001</v>
      </c>
      <c r="K9">
        <f t="shared" si="5"/>
        <v>1524.2440160000001</v>
      </c>
    </row>
    <row r="10" spans="1:11">
      <c r="A10">
        <v>9</v>
      </c>
      <c r="B10" s="6">
        <v>13522165</v>
      </c>
      <c r="C10" s="6">
        <v>10477835</v>
      </c>
      <c r="D10">
        <f t="shared" si="0"/>
        <v>4191134</v>
      </c>
      <c r="E10">
        <f t="shared" si="1"/>
        <v>6.9852233333333338</v>
      </c>
      <c r="F10">
        <f t="shared" si="2"/>
        <v>27.044329999999999</v>
      </c>
      <c r="G10">
        <f>IFERROR(B10+C10,0)</f>
        <v>24000000</v>
      </c>
      <c r="H10">
        <f>SUM($G$2:G10)</f>
        <v>210392812</v>
      </c>
      <c r="I10">
        <f t="shared" si="3"/>
        <v>175.32734333333335</v>
      </c>
      <c r="J10">
        <f t="shared" si="4"/>
        <v>209.35689666666667</v>
      </c>
      <c r="K10">
        <f t="shared" si="5"/>
        <v>1884.21207</v>
      </c>
    </row>
    <row r="11" spans="1:11">
      <c r="A11">
        <v>10</v>
      </c>
      <c r="B11" s="6">
        <v>11970548</v>
      </c>
      <c r="C11" s="6">
        <v>12029452</v>
      </c>
      <c r="D11">
        <f t="shared" si="0"/>
        <v>4811780.8</v>
      </c>
      <c r="E11">
        <f t="shared" si="1"/>
        <v>8.0196346666666667</v>
      </c>
      <c r="F11">
        <f t="shared" si="2"/>
        <v>23.941096000000002</v>
      </c>
      <c r="G11">
        <f>IFERROR(B11+C11,0)</f>
        <v>24000000</v>
      </c>
      <c r="H11">
        <f>SUM($G$2:G11)</f>
        <v>234392812</v>
      </c>
      <c r="I11">
        <f t="shared" si="3"/>
        <v>195.32734333333335</v>
      </c>
      <c r="J11">
        <f t="shared" si="4"/>
        <v>227.28807399999999</v>
      </c>
      <c r="K11">
        <f t="shared" si="5"/>
        <v>2272.8807400000001</v>
      </c>
    </row>
    <row r="12" spans="1:11">
      <c r="A12">
        <v>11</v>
      </c>
      <c r="B12" s="6">
        <v>9143647</v>
      </c>
      <c r="C12" s="6">
        <v>14856353</v>
      </c>
      <c r="D12">
        <f t="shared" si="0"/>
        <v>5942541.2000000002</v>
      </c>
      <c r="E12">
        <f t="shared" si="1"/>
        <v>9.9042353333333324</v>
      </c>
      <c r="F12">
        <f t="shared" si="2"/>
        <v>18.287293999999999</v>
      </c>
      <c r="G12">
        <f>IFERROR(B12+C12,0)</f>
        <v>24000000</v>
      </c>
      <c r="H12">
        <f>SUM($G$2:G12)</f>
        <v>258392812</v>
      </c>
      <c r="I12">
        <f t="shared" si="3"/>
        <v>215.32734333333332</v>
      </c>
      <c r="J12">
        <f t="shared" si="4"/>
        <v>243.51887266666665</v>
      </c>
      <c r="K12">
        <f t="shared" si="5"/>
        <v>2678.7075993333333</v>
      </c>
    </row>
    <row r="13" spans="1:11">
      <c r="A13">
        <v>12</v>
      </c>
      <c r="B13" s="6">
        <v>8445782</v>
      </c>
      <c r="C13" s="6">
        <v>15554218</v>
      </c>
      <c r="D13">
        <f t="shared" si="0"/>
        <v>6221687.2000000002</v>
      </c>
      <c r="E13">
        <f t="shared" si="1"/>
        <v>10.369478666666666</v>
      </c>
      <c r="F13">
        <f t="shared" si="2"/>
        <v>16.891563999999999</v>
      </c>
      <c r="G13">
        <f>IFERROR(B13+C13,0)</f>
        <v>24000000</v>
      </c>
      <c r="H13">
        <f>SUM($G$2:G13)</f>
        <v>282392812</v>
      </c>
      <c r="I13">
        <f t="shared" si="3"/>
        <v>235.32734333333332</v>
      </c>
      <c r="J13">
        <f t="shared" si="4"/>
        <v>262.58838599999996</v>
      </c>
      <c r="K13">
        <f t="shared" si="5"/>
        <v>3151.0606319999997</v>
      </c>
    </row>
    <row r="14" spans="1:11">
      <c r="A14">
        <v>13</v>
      </c>
      <c r="B14" s="6">
        <v>9230127</v>
      </c>
      <c r="C14" s="6">
        <v>14769873</v>
      </c>
      <c r="D14">
        <f t="shared" si="0"/>
        <v>5907949.2000000002</v>
      </c>
      <c r="E14">
        <f t="shared" si="1"/>
        <v>9.8465820000000015</v>
      </c>
      <c r="F14">
        <f t="shared" si="2"/>
        <v>18.460253999999999</v>
      </c>
      <c r="G14">
        <f>IFERROR(B14+C14,0)</f>
        <v>24000000</v>
      </c>
      <c r="H14">
        <f>SUM($G$2:G14)</f>
        <v>306392812</v>
      </c>
      <c r="I14">
        <f t="shared" si="3"/>
        <v>255.32734333333332</v>
      </c>
      <c r="J14">
        <f t="shared" si="4"/>
        <v>283.63417933333335</v>
      </c>
      <c r="K14">
        <f t="shared" si="5"/>
        <v>3687.2443313333333</v>
      </c>
    </row>
    <row r="15" spans="1:11">
      <c r="A15">
        <v>14</v>
      </c>
      <c r="B15" s="6">
        <v>8811865</v>
      </c>
      <c r="C15" s="6">
        <v>15188135</v>
      </c>
      <c r="D15">
        <f t="shared" si="0"/>
        <v>6075254</v>
      </c>
      <c r="E15">
        <f t="shared" si="1"/>
        <v>10.125423333333334</v>
      </c>
      <c r="F15">
        <f t="shared" si="2"/>
        <v>17.623729999999998</v>
      </c>
      <c r="G15">
        <f>IFERROR(B15+C15,0)</f>
        <v>24000000</v>
      </c>
      <c r="H15">
        <f>SUM($G$2:G15)</f>
        <v>330392812</v>
      </c>
      <c r="I15">
        <f t="shared" si="3"/>
        <v>275.32734333333332</v>
      </c>
      <c r="J15">
        <f t="shared" si="4"/>
        <v>303.07649666666669</v>
      </c>
      <c r="K15">
        <f t="shared" si="5"/>
        <v>4243.0709533333338</v>
      </c>
    </row>
    <row r="16" spans="1:11">
      <c r="A16">
        <v>15</v>
      </c>
      <c r="B16" s="6">
        <v>7919955</v>
      </c>
      <c r="C16" s="6">
        <v>16080045</v>
      </c>
      <c r="D16">
        <f t="shared" si="0"/>
        <v>6432018</v>
      </c>
      <c r="E16">
        <f t="shared" si="1"/>
        <v>10.72003</v>
      </c>
      <c r="F16">
        <f t="shared" si="2"/>
        <v>15.83991</v>
      </c>
      <c r="G16">
        <f>IFERROR(B16+C16,0)</f>
        <v>24000000</v>
      </c>
      <c r="H16">
        <f>SUM($G$2:G16)</f>
        <v>354392812</v>
      </c>
      <c r="I16">
        <f t="shared" si="3"/>
        <v>295.32734333333337</v>
      </c>
      <c r="J16">
        <f t="shared" si="4"/>
        <v>321.88728333333336</v>
      </c>
      <c r="K16">
        <f t="shared" si="5"/>
        <v>4828.3092500000002</v>
      </c>
    </row>
    <row r="17" spans="1:11">
      <c r="A17">
        <v>16</v>
      </c>
      <c r="B17" s="6">
        <v>7348538</v>
      </c>
      <c r="C17" s="6">
        <v>16651462</v>
      </c>
      <c r="D17">
        <f t="shared" si="0"/>
        <v>6660584.7999999998</v>
      </c>
      <c r="E17">
        <f t="shared" si="1"/>
        <v>11.100974666666666</v>
      </c>
      <c r="F17">
        <f t="shared" si="2"/>
        <v>14.697075999999999</v>
      </c>
      <c r="G17">
        <f>IFERROR(B17+C17,0)</f>
        <v>24000000</v>
      </c>
      <c r="H17">
        <f>SUM($G$2:G17)</f>
        <v>378392812</v>
      </c>
      <c r="I17">
        <f t="shared" si="3"/>
        <v>315.32734333333337</v>
      </c>
      <c r="J17">
        <f t="shared" si="4"/>
        <v>341.12539400000003</v>
      </c>
      <c r="K17">
        <f t="shared" si="5"/>
        <v>5458.0063040000005</v>
      </c>
    </row>
    <row r="18" spans="1:11">
      <c r="A18">
        <v>17</v>
      </c>
      <c r="B18" s="6">
        <v>7085403</v>
      </c>
      <c r="C18" s="6">
        <v>16914597</v>
      </c>
      <c r="D18">
        <f t="shared" si="0"/>
        <v>6765838.7999999998</v>
      </c>
      <c r="E18">
        <f t="shared" si="1"/>
        <v>11.276398</v>
      </c>
      <c r="F18">
        <f t="shared" si="2"/>
        <v>14.170806000000001</v>
      </c>
      <c r="G18">
        <f>IFERROR(B18+C18,0)</f>
        <v>24000000</v>
      </c>
      <c r="H18">
        <f>SUM($G$2:G18)</f>
        <v>402392812</v>
      </c>
      <c r="I18">
        <f t="shared" si="3"/>
        <v>335.32734333333337</v>
      </c>
      <c r="J18">
        <f t="shared" si="4"/>
        <v>360.77454733333343</v>
      </c>
      <c r="K18">
        <f t="shared" si="5"/>
        <v>6133.1673046666683</v>
      </c>
    </row>
    <row r="19" spans="1:11">
      <c r="A19">
        <v>18</v>
      </c>
      <c r="B19" s="6">
        <v>6646160</v>
      </c>
      <c r="C19" s="6">
        <v>17353840</v>
      </c>
      <c r="D19">
        <f t="shared" si="0"/>
        <v>6941536</v>
      </c>
      <c r="E19">
        <f t="shared" si="1"/>
        <v>11.569226666666665</v>
      </c>
      <c r="F19">
        <f t="shared" si="2"/>
        <v>13.29232</v>
      </c>
      <c r="G19">
        <f>IFERROR(B19+C19,0)</f>
        <v>24000000</v>
      </c>
      <c r="H19">
        <f>SUM($G$2:G19)</f>
        <v>426392812</v>
      </c>
      <c r="I19">
        <f t="shared" si="3"/>
        <v>355.32734333333337</v>
      </c>
      <c r="J19">
        <f t="shared" si="4"/>
        <v>380.18889000000007</v>
      </c>
      <c r="K19">
        <f t="shared" si="5"/>
        <v>6843.4000200000009</v>
      </c>
    </row>
    <row r="20" spans="1:11">
      <c r="A20">
        <v>19</v>
      </c>
      <c r="B20" s="6">
        <v>7309703</v>
      </c>
      <c r="C20" s="6">
        <v>16690297</v>
      </c>
      <c r="D20">
        <f t="shared" si="0"/>
        <v>6676118.7999999998</v>
      </c>
      <c r="E20">
        <f t="shared" si="1"/>
        <v>11.126864666666666</v>
      </c>
      <c r="F20">
        <f t="shared" si="2"/>
        <v>14.619406</v>
      </c>
      <c r="G20">
        <f>IFERROR(B20+C20,0)</f>
        <v>24000000</v>
      </c>
      <c r="H20">
        <f>SUM($G$2:G20)</f>
        <v>450392812</v>
      </c>
      <c r="I20">
        <f t="shared" si="3"/>
        <v>375.32734333333337</v>
      </c>
      <c r="J20">
        <f t="shared" si="4"/>
        <v>401.07361400000008</v>
      </c>
      <c r="K20">
        <f t="shared" si="5"/>
        <v>7620.3986660000019</v>
      </c>
    </row>
    <row r="21" spans="1:11">
      <c r="A21">
        <v>20</v>
      </c>
      <c r="B21" s="6">
        <v>8022530</v>
      </c>
      <c r="C21" s="6">
        <v>12258577</v>
      </c>
      <c r="D21">
        <f t="shared" si="0"/>
        <v>4903430.8</v>
      </c>
      <c r="E21">
        <f t="shared" si="1"/>
        <v>8.172384666666666</v>
      </c>
      <c r="F21">
        <f t="shared" si="2"/>
        <v>16.045059999999999</v>
      </c>
      <c r="G21">
        <f>IFERROR(B21+C21,0)</f>
        <v>20281107</v>
      </c>
      <c r="H21">
        <f>SUM($G$2:G21)</f>
        <v>470673919</v>
      </c>
      <c r="I21">
        <f t="shared" si="3"/>
        <v>392.2282658333333</v>
      </c>
      <c r="J21">
        <f t="shared" si="4"/>
        <v>416.44571049999996</v>
      </c>
      <c r="K21">
        <f t="shared" si="5"/>
        <v>8328.914209999999</v>
      </c>
    </row>
    <row r="22" spans="1:11">
      <c r="B22" s="6"/>
      <c r="C22" s="6"/>
    </row>
    <row r="23" spans="1:11">
      <c r="B23" s="6"/>
      <c r="C23" s="6"/>
    </row>
    <row r="24" spans="1:11">
      <c r="B24" s="6"/>
      <c r="C24" s="6"/>
    </row>
    <row r="25" spans="1:11">
      <c r="B25" s="6"/>
      <c r="C25" s="6"/>
    </row>
    <row r="26" spans="1:11">
      <c r="B26" s="6"/>
      <c r="C26" s="6"/>
    </row>
    <row r="27" spans="1:11">
      <c r="B27" s="6"/>
      <c r="C27" s="6"/>
    </row>
    <row r="28" spans="1:11">
      <c r="B28" s="6"/>
      <c r="C28" s="6"/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251327999</v>
      </c>
    </row>
    <row r="37" spans="1:10">
      <c r="H37" s="14" t="s">
        <v>37</v>
      </c>
      <c r="I37" t="s">
        <v>2</v>
      </c>
      <c r="J37" s="15">
        <f>MAX(K2:K33)</f>
        <v>8328.914209999999</v>
      </c>
    </row>
    <row r="38" spans="1:10">
      <c r="I38" t="s">
        <v>3</v>
      </c>
      <c r="J38" s="15">
        <f>MAX(J2:J33)</f>
        <v>416.44571049999996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>
        <v>1</v>
      </c>
      <c r="B58" s="6">
        <v>14500000</v>
      </c>
      <c r="C58" s="6">
        <v>8656708</v>
      </c>
      <c r="D58" s="6">
        <v>0.6</v>
      </c>
      <c r="E58" s="6">
        <v>2.1276999999999999</v>
      </c>
      <c r="F58" s="6">
        <v>1072702872</v>
      </c>
      <c r="G58" s="6">
        <v>975184429</v>
      </c>
    </row>
    <row r="59" spans="1:9">
      <c r="A59" s="6">
        <v>2</v>
      </c>
      <c r="B59" s="6">
        <v>14500000</v>
      </c>
      <c r="C59" s="6">
        <v>9105575</v>
      </c>
      <c r="D59" s="6">
        <v>0.63</v>
      </c>
      <c r="E59" s="6">
        <v>1.9610000000000001</v>
      </c>
      <c r="F59" s="6">
        <v>959389409</v>
      </c>
      <c r="G59" s="6">
        <v>792883809</v>
      </c>
    </row>
    <row r="60" spans="1:9">
      <c r="A60" s="6">
        <v>3</v>
      </c>
      <c r="B60" s="6">
        <v>13877356</v>
      </c>
      <c r="C60" s="6">
        <v>10122644</v>
      </c>
      <c r="D60" s="6">
        <v>0.73</v>
      </c>
      <c r="E60" s="6">
        <v>2.4790999999999999</v>
      </c>
      <c r="F60" s="6">
        <v>1246301415</v>
      </c>
      <c r="G60" s="6">
        <v>936364700</v>
      </c>
    </row>
    <row r="61" spans="1:9">
      <c r="A61" s="6">
        <v>4</v>
      </c>
      <c r="B61" s="6">
        <v>13012141</v>
      </c>
      <c r="C61" s="6">
        <v>10987859</v>
      </c>
      <c r="D61" s="6">
        <v>0.84</v>
      </c>
      <c r="E61" s="6">
        <v>2.4820000000000002</v>
      </c>
      <c r="F61" s="6">
        <v>1165436896</v>
      </c>
      <c r="G61" s="6">
        <v>796009081</v>
      </c>
    </row>
    <row r="62" spans="1:9">
      <c r="A62" s="6">
        <v>5</v>
      </c>
      <c r="B62" s="6">
        <v>14500000</v>
      </c>
      <c r="C62" s="6">
        <v>8393196</v>
      </c>
      <c r="D62" s="6">
        <v>0.57999999999999996</v>
      </c>
      <c r="E62" s="6">
        <v>2.4306000000000001</v>
      </c>
      <c r="F62" s="6">
        <v>1276830440</v>
      </c>
      <c r="G62" s="6">
        <v>792811246</v>
      </c>
    </row>
    <row r="63" spans="1:9">
      <c r="A63" s="6">
        <v>6</v>
      </c>
      <c r="B63" s="6">
        <v>14500000</v>
      </c>
      <c r="C63" s="6">
        <v>8868128</v>
      </c>
      <c r="D63" s="6">
        <v>0.61</v>
      </c>
      <c r="E63" s="6">
        <v>2.3544999999999998</v>
      </c>
      <c r="F63" s="6">
        <v>1224232882</v>
      </c>
      <c r="G63" s="6">
        <v>691047546</v>
      </c>
    </row>
    <row r="64" spans="1:9">
      <c r="A64" s="6">
        <v>7</v>
      </c>
      <c r="B64" s="6">
        <v>14500000</v>
      </c>
      <c r="C64" s="6">
        <v>7064467</v>
      </c>
      <c r="D64" s="6">
        <v>0.49</v>
      </c>
      <c r="E64" s="6">
        <v>2.423</v>
      </c>
      <c r="F64" s="6">
        <v>1276103782</v>
      </c>
      <c r="G64" s="6">
        <v>654843015</v>
      </c>
    </row>
    <row r="65" spans="1:7">
      <c r="A65" s="6">
        <v>8</v>
      </c>
      <c r="B65" s="6">
        <v>14500000</v>
      </c>
      <c r="C65" s="6">
        <v>9304738</v>
      </c>
      <c r="D65" s="6">
        <v>0.64</v>
      </c>
      <c r="E65" s="6">
        <v>2.5135000000000001</v>
      </c>
      <c r="F65" s="6">
        <v>1329482869</v>
      </c>
      <c r="G65" s="6">
        <v>620213570</v>
      </c>
    </row>
    <row r="66" spans="1:7">
      <c r="A66" s="6">
        <v>9</v>
      </c>
      <c r="B66" s="6">
        <v>13522165</v>
      </c>
      <c r="C66" s="6">
        <v>10477835</v>
      </c>
      <c r="D66" s="6">
        <v>0.77</v>
      </c>
      <c r="E66" s="6">
        <v>2.3483999999999998</v>
      </c>
      <c r="F66" s="6">
        <v>1130625115</v>
      </c>
      <c r="G66" s="6">
        <v>479495419</v>
      </c>
    </row>
    <row r="67" spans="1:7">
      <c r="A67" s="6">
        <v>10</v>
      </c>
      <c r="B67" s="6">
        <v>11970548</v>
      </c>
      <c r="C67" s="6">
        <v>12029452</v>
      </c>
      <c r="D67" s="6">
        <v>1</v>
      </c>
      <c r="E67" s="6">
        <v>1.1037999999999999</v>
      </c>
      <c r="F67" s="6">
        <v>302342497</v>
      </c>
      <c r="G67" s="6">
        <v>116566121</v>
      </c>
    </row>
    <row r="68" spans="1:7">
      <c r="A68" s="6">
        <v>11</v>
      </c>
      <c r="B68" s="6">
        <v>9143647</v>
      </c>
      <c r="C68" s="6">
        <v>14856353</v>
      </c>
      <c r="D68" s="6">
        <v>1.62</v>
      </c>
      <c r="E68" s="6">
        <v>1.1526000000000001</v>
      </c>
      <c r="F68" s="6">
        <v>232999180</v>
      </c>
      <c r="G68" s="6">
        <v>81664791</v>
      </c>
    </row>
    <row r="69" spans="1:7">
      <c r="A69" s="6">
        <v>12</v>
      </c>
      <c r="B69" s="6">
        <v>8445782</v>
      </c>
      <c r="C69" s="6">
        <v>15554218</v>
      </c>
      <c r="D69" s="6">
        <v>1.84</v>
      </c>
      <c r="E69" s="6">
        <v>1.1132</v>
      </c>
      <c r="F69" s="6">
        <v>193820433</v>
      </c>
      <c r="G69" s="6">
        <v>61757163</v>
      </c>
    </row>
    <row r="70" spans="1:7">
      <c r="A70" s="6">
        <v>13</v>
      </c>
      <c r="B70" s="6">
        <v>9230127</v>
      </c>
      <c r="C70" s="6">
        <v>14769873</v>
      </c>
      <c r="D70" s="6">
        <v>1.6</v>
      </c>
      <c r="E70" s="6">
        <v>1.2159</v>
      </c>
      <c r="F70" s="6">
        <v>262988110</v>
      </c>
      <c r="G70" s="6">
        <v>76178288</v>
      </c>
    </row>
    <row r="71" spans="1:7">
      <c r="A71" s="6">
        <v>14</v>
      </c>
      <c r="B71" s="6">
        <v>8811865</v>
      </c>
      <c r="C71" s="6">
        <v>15188135</v>
      </c>
      <c r="D71" s="6">
        <v>1.72</v>
      </c>
      <c r="E71" s="6">
        <v>1.2399</v>
      </c>
      <c r="F71" s="6">
        <v>257295561</v>
      </c>
      <c r="G71" s="6">
        <v>67753963</v>
      </c>
    </row>
    <row r="72" spans="1:7">
      <c r="A72" s="6">
        <v>15</v>
      </c>
      <c r="B72" s="6">
        <v>7919955</v>
      </c>
      <c r="C72" s="6">
        <v>16080045</v>
      </c>
      <c r="D72" s="6">
        <v>2.0299999999999998</v>
      </c>
      <c r="E72" s="6">
        <v>1.2667999999999999</v>
      </c>
      <c r="F72" s="6">
        <v>233160756</v>
      </c>
      <c r="G72" s="6">
        <v>55816831</v>
      </c>
    </row>
    <row r="73" spans="1:7">
      <c r="A73" s="6">
        <v>16</v>
      </c>
      <c r="B73" s="6">
        <v>7348538</v>
      </c>
      <c r="C73" s="6">
        <v>16651462</v>
      </c>
      <c r="D73" s="6">
        <v>2.27</v>
      </c>
      <c r="E73" s="6">
        <v>1.3252999999999999</v>
      </c>
      <c r="F73" s="6">
        <v>230525664</v>
      </c>
      <c r="G73" s="6">
        <v>50169101</v>
      </c>
    </row>
    <row r="74" spans="1:7">
      <c r="A74" s="6">
        <v>17</v>
      </c>
      <c r="B74" s="6">
        <v>7085403</v>
      </c>
      <c r="C74" s="6">
        <v>16914597</v>
      </c>
      <c r="D74" s="6">
        <v>2.39</v>
      </c>
      <c r="E74" s="6">
        <v>1.4619</v>
      </c>
      <c r="F74" s="6">
        <v>264243517</v>
      </c>
      <c r="G74" s="6">
        <v>52279171</v>
      </c>
    </row>
    <row r="75" spans="1:7">
      <c r="A75" s="6">
        <v>18</v>
      </c>
      <c r="B75" s="6">
        <v>6646160</v>
      </c>
      <c r="C75" s="6">
        <v>17353840</v>
      </c>
      <c r="D75" s="6">
        <v>2.61</v>
      </c>
      <c r="E75" s="6">
        <v>1.6528</v>
      </c>
      <c r="F75" s="6">
        <v>301698792</v>
      </c>
      <c r="G75" s="6">
        <v>54263180</v>
      </c>
    </row>
    <row r="76" spans="1:7">
      <c r="A76" s="6">
        <v>19</v>
      </c>
      <c r="B76" s="6">
        <v>7309703</v>
      </c>
      <c r="C76" s="6">
        <v>16690297</v>
      </c>
      <c r="D76" s="6">
        <v>2.2799999999999998</v>
      </c>
      <c r="E76" s="6">
        <v>1.901</v>
      </c>
      <c r="F76" s="6">
        <v>423662661</v>
      </c>
      <c r="G76" s="6">
        <v>69272230</v>
      </c>
    </row>
    <row r="77" spans="1:7">
      <c r="A77" s="6">
        <v>20</v>
      </c>
      <c r="B77" s="6">
        <v>8022530</v>
      </c>
      <c r="C77" s="6">
        <v>12258577</v>
      </c>
      <c r="D77" s="6">
        <v>1.53</v>
      </c>
      <c r="E77" s="6">
        <v>2.0804</v>
      </c>
      <c r="F77" s="6">
        <v>551443843</v>
      </c>
      <c r="G77" s="6">
        <v>83188165</v>
      </c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90"/>
  <sheetViews>
    <sheetView workbookViewId="0">
      <selection sqref="A1:XFD1048576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10000000</v>
      </c>
      <c r="C2" s="6">
        <v>5913171</v>
      </c>
      <c r="D2">
        <f>C2/2.5</f>
        <v>2365268.4</v>
      </c>
      <c r="E2">
        <f>(D2/60)/10000</f>
        <v>3.9421140000000001</v>
      </c>
      <c r="F2">
        <f>(B2*2)/1000000</f>
        <v>20</v>
      </c>
      <c r="G2">
        <f>IFERROR(B2+C2,0)</f>
        <v>15913171</v>
      </c>
      <c r="H2">
        <f>SUM($G$2:G2)</f>
        <v>15913171</v>
      </c>
      <c r="I2">
        <f>((H2/2.5)/48)/10000</f>
        <v>13.260975833333333</v>
      </c>
      <c r="J2">
        <f>I2+F2+E2</f>
        <v>37.203089833333337</v>
      </c>
      <c r="K2">
        <f>A2*J2</f>
        <v>37.203089833333337</v>
      </c>
    </row>
    <row r="3" spans="1:11">
      <c r="A3">
        <v>2</v>
      </c>
      <c r="B3" s="6">
        <v>10000000</v>
      </c>
      <c r="C3" s="6">
        <v>5961872</v>
      </c>
      <c r="D3">
        <f t="shared" ref="D3:D30" si="0">C3/2.5</f>
        <v>2384748.7999999998</v>
      </c>
      <c r="E3">
        <f t="shared" ref="E3:E30" si="1">(D3/60)/10000</f>
        <v>3.9745813333333331</v>
      </c>
      <c r="F3">
        <f t="shared" ref="F3:F34" si="2">(B3*2)/1000000</f>
        <v>20</v>
      </c>
      <c r="G3">
        <f>IFERROR(B3+C3,0)</f>
        <v>15961872</v>
      </c>
      <c r="H3">
        <f>SUM($G$2:G3)</f>
        <v>31875043</v>
      </c>
      <c r="I3">
        <f t="shared" ref="I3:I30" si="3">((H3/2.5)/48)/10000</f>
        <v>26.562535833333335</v>
      </c>
      <c r="J3">
        <f t="shared" ref="J3:J21" si="4">I3+F3+E3</f>
        <v>50.537117166666668</v>
      </c>
      <c r="K3">
        <f t="shared" ref="K3:K21" si="5">A3*J3</f>
        <v>101.07423433333334</v>
      </c>
    </row>
    <row r="4" spans="1:11">
      <c r="A4">
        <v>3</v>
      </c>
      <c r="B4" s="6">
        <v>10000000</v>
      </c>
      <c r="C4" s="6">
        <v>6592818</v>
      </c>
      <c r="D4">
        <f t="shared" si="0"/>
        <v>2637127.2000000002</v>
      </c>
      <c r="E4">
        <f t="shared" si="1"/>
        <v>4.3952119999999999</v>
      </c>
      <c r="F4">
        <f t="shared" si="2"/>
        <v>20</v>
      </c>
      <c r="G4">
        <f>IFERROR(B4+C4,0)</f>
        <v>16592818</v>
      </c>
      <c r="H4">
        <f>SUM($G$2:G4)</f>
        <v>48467861</v>
      </c>
      <c r="I4">
        <f t="shared" si="3"/>
        <v>40.389884166666661</v>
      </c>
      <c r="J4">
        <f t="shared" si="4"/>
        <v>64.785096166666662</v>
      </c>
      <c r="K4">
        <f t="shared" si="5"/>
        <v>194.35528849999997</v>
      </c>
    </row>
    <row r="5" spans="1:11">
      <c r="A5">
        <v>4</v>
      </c>
      <c r="B5" s="6">
        <v>9987156</v>
      </c>
      <c r="C5" s="6">
        <v>7012844</v>
      </c>
      <c r="D5">
        <f t="shared" si="0"/>
        <v>2805137.6</v>
      </c>
      <c r="E5">
        <f t="shared" si="1"/>
        <v>4.6752293333333332</v>
      </c>
      <c r="F5">
        <f t="shared" si="2"/>
        <v>19.974312000000001</v>
      </c>
      <c r="G5">
        <f>IFERROR(B5+C5,0)</f>
        <v>17000000</v>
      </c>
      <c r="H5">
        <f>SUM($G$2:G5)</f>
        <v>65467861</v>
      </c>
      <c r="I5">
        <f t="shared" si="3"/>
        <v>54.556550833333333</v>
      </c>
      <c r="J5">
        <f t="shared" si="4"/>
        <v>79.206092166666664</v>
      </c>
      <c r="K5">
        <f t="shared" si="5"/>
        <v>316.82436866666666</v>
      </c>
    </row>
    <row r="6" spans="1:11">
      <c r="A6">
        <v>5</v>
      </c>
      <c r="B6" s="6">
        <v>9143937</v>
      </c>
      <c r="C6" s="6">
        <v>7856063</v>
      </c>
      <c r="D6">
        <f t="shared" si="0"/>
        <v>3142425.2</v>
      </c>
      <c r="E6">
        <f t="shared" si="1"/>
        <v>5.2373753333333335</v>
      </c>
      <c r="F6">
        <f t="shared" si="2"/>
        <v>18.287873999999999</v>
      </c>
      <c r="G6">
        <f>IFERROR(B6+C6,0)</f>
        <v>17000000</v>
      </c>
      <c r="H6">
        <f>SUM($G$2:G6)</f>
        <v>82467861</v>
      </c>
      <c r="I6">
        <f t="shared" si="3"/>
        <v>68.72321749999999</v>
      </c>
      <c r="J6">
        <f t="shared" si="4"/>
        <v>92.248466833333325</v>
      </c>
      <c r="K6">
        <f t="shared" si="5"/>
        <v>461.24233416666664</v>
      </c>
    </row>
    <row r="7" spans="1:11">
      <c r="A7">
        <v>6</v>
      </c>
      <c r="B7" s="6">
        <v>9595959</v>
      </c>
      <c r="C7" s="6">
        <v>7404041</v>
      </c>
      <c r="D7">
        <f t="shared" si="0"/>
        <v>2961616.4</v>
      </c>
      <c r="E7">
        <f t="shared" si="1"/>
        <v>4.9360273333333327</v>
      </c>
      <c r="F7">
        <f t="shared" si="2"/>
        <v>19.191918000000001</v>
      </c>
      <c r="G7">
        <f>IFERROR(B7+C7,0)</f>
        <v>17000000</v>
      </c>
      <c r="H7">
        <f>SUM($G$2:G7)</f>
        <v>99467861</v>
      </c>
      <c r="I7">
        <f t="shared" si="3"/>
        <v>82.889884166666661</v>
      </c>
      <c r="J7">
        <f t="shared" si="4"/>
        <v>107.01782949999999</v>
      </c>
      <c r="K7">
        <f t="shared" si="5"/>
        <v>642.10697699999992</v>
      </c>
    </row>
    <row r="8" spans="1:11">
      <c r="A8">
        <v>7</v>
      </c>
      <c r="B8" s="6">
        <v>10000000</v>
      </c>
      <c r="C8" s="6">
        <v>5650495</v>
      </c>
      <c r="D8">
        <f t="shared" si="0"/>
        <v>2260198</v>
      </c>
      <c r="E8">
        <f t="shared" si="1"/>
        <v>3.7669966666666665</v>
      </c>
      <c r="F8">
        <f t="shared" si="2"/>
        <v>20</v>
      </c>
      <c r="G8">
        <f>IFERROR(B8+C8,0)</f>
        <v>15650495</v>
      </c>
      <c r="H8">
        <f>SUM($G$2:G8)</f>
        <v>115118356</v>
      </c>
      <c r="I8">
        <f t="shared" si="3"/>
        <v>95.931963333333329</v>
      </c>
      <c r="J8">
        <f t="shared" si="4"/>
        <v>119.69896</v>
      </c>
      <c r="K8">
        <f t="shared" si="5"/>
        <v>837.89272000000005</v>
      </c>
    </row>
    <row r="9" spans="1:11">
      <c r="A9">
        <v>8</v>
      </c>
      <c r="B9" s="6">
        <v>10000000</v>
      </c>
      <c r="C9" s="6">
        <v>5135435</v>
      </c>
      <c r="D9">
        <f t="shared" si="0"/>
        <v>2054174</v>
      </c>
      <c r="E9">
        <f t="shared" si="1"/>
        <v>3.423623333333333</v>
      </c>
      <c r="F9">
        <f t="shared" si="2"/>
        <v>20</v>
      </c>
      <c r="G9">
        <f>IFERROR(B9+C9,0)</f>
        <v>15135435</v>
      </c>
      <c r="H9">
        <f>SUM($G$2:G9)</f>
        <v>130253791</v>
      </c>
      <c r="I9">
        <f t="shared" si="3"/>
        <v>108.54482583333333</v>
      </c>
      <c r="J9">
        <f t="shared" si="4"/>
        <v>131.96844916666666</v>
      </c>
      <c r="K9">
        <f t="shared" si="5"/>
        <v>1055.7475933333333</v>
      </c>
    </row>
    <row r="10" spans="1:11">
      <c r="A10">
        <v>9</v>
      </c>
      <c r="B10" s="6">
        <v>10000000</v>
      </c>
      <c r="C10" s="6">
        <v>5006375</v>
      </c>
      <c r="D10">
        <f t="shared" si="0"/>
        <v>2002550</v>
      </c>
      <c r="E10">
        <f t="shared" si="1"/>
        <v>3.3375833333333338</v>
      </c>
      <c r="F10">
        <f t="shared" si="2"/>
        <v>20</v>
      </c>
      <c r="G10">
        <f>IFERROR(B10+C10,0)</f>
        <v>15006375</v>
      </c>
      <c r="H10">
        <f>SUM($G$2:G10)</f>
        <v>145260166</v>
      </c>
      <c r="I10">
        <f t="shared" si="3"/>
        <v>121.05013833333334</v>
      </c>
      <c r="J10">
        <f t="shared" si="4"/>
        <v>144.38772166666666</v>
      </c>
      <c r="K10">
        <f t="shared" si="5"/>
        <v>1299.489495</v>
      </c>
    </row>
    <row r="11" spans="1:11">
      <c r="A11">
        <v>10</v>
      </c>
      <c r="B11" s="6">
        <v>10000000</v>
      </c>
      <c r="C11" s="6">
        <v>4855569</v>
      </c>
      <c r="D11">
        <f t="shared" si="0"/>
        <v>1942227.6</v>
      </c>
      <c r="E11">
        <f t="shared" si="1"/>
        <v>3.2370460000000003</v>
      </c>
      <c r="F11">
        <f t="shared" si="2"/>
        <v>20</v>
      </c>
      <c r="G11">
        <f>IFERROR(B11+C11,0)</f>
        <v>14855569</v>
      </c>
      <c r="H11">
        <f>SUM($G$2:G11)</f>
        <v>160115735</v>
      </c>
      <c r="I11">
        <f t="shared" si="3"/>
        <v>133.42977916666666</v>
      </c>
      <c r="J11">
        <f t="shared" si="4"/>
        <v>156.66682516666665</v>
      </c>
      <c r="K11">
        <f t="shared" si="5"/>
        <v>1566.6682516666665</v>
      </c>
    </row>
    <row r="12" spans="1:11">
      <c r="A12">
        <v>11</v>
      </c>
      <c r="B12" s="6">
        <v>10000000</v>
      </c>
      <c r="C12" s="6">
        <v>6567568</v>
      </c>
      <c r="D12">
        <f t="shared" si="0"/>
        <v>2627027.2000000002</v>
      </c>
      <c r="E12">
        <f t="shared" si="1"/>
        <v>4.3783786666666664</v>
      </c>
      <c r="F12">
        <f t="shared" si="2"/>
        <v>20</v>
      </c>
      <c r="G12">
        <f>IFERROR(B12+C12,0)</f>
        <v>16567568</v>
      </c>
      <c r="H12">
        <f>SUM($G$2:G12)</f>
        <v>176683303</v>
      </c>
      <c r="I12">
        <f t="shared" si="3"/>
        <v>147.23608583333333</v>
      </c>
      <c r="J12">
        <f t="shared" si="4"/>
        <v>171.6144645</v>
      </c>
      <c r="K12">
        <f t="shared" si="5"/>
        <v>1887.7591095</v>
      </c>
    </row>
    <row r="13" spans="1:11">
      <c r="A13">
        <v>12</v>
      </c>
      <c r="B13" s="6">
        <v>10000000</v>
      </c>
      <c r="C13" s="6">
        <v>6992452</v>
      </c>
      <c r="D13">
        <f t="shared" si="0"/>
        <v>2796980.8</v>
      </c>
      <c r="E13">
        <f t="shared" si="1"/>
        <v>4.6616346666666661</v>
      </c>
      <c r="F13">
        <f t="shared" si="2"/>
        <v>20</v>
      </c>
      <c r="G13">
        <f>IFERROR(B13+C13,0)</f>
        <v>16992452</v>
      </c>
      <c r="H13">
        <f>SUM($G$2:G13)</f>
        <v>193675755</v>
      </c>
      <c r="I13">
        <f t="shared" si="3"/>
        <v>161.39646250000001</v>
      </c>
      <c r="J13">
        <f t="shared" si="4"/>
        <v>186.05809716666667</v>
      </c>
      <c r="K13">
        <f t="shared" si="5"/>
        <v>2232.6971659999999</v>
      </c>
    </row>
    <row r="14" spans="1:11">
      <c r="A14">
        <v>13</v>
      </c>
      <c r="B14" s="6">
        <v>8886310</v>
      </c>
      <c r="C14" s="6">
        <v>8113690</v>
      </c>
      <c r="D14">
        <f t="shared" si="0"/>
        <v>3245476</v>
      </c>
      <c r="E14">
        <f t="shared" si="1"/>
        <v>5.4091266666666673</v>
      </c>
      <c r="F14">
        <f t="shared" si="2"/>
        <v>17.77262</v>
      </c>
      <c r="G14">
        <f>IFERROR(B14+C14,0)</f>
        <v>17000000</v>
      </c>
      <c r="H14">
        <f>SUM($G$2:G14)</f>
        <v>210675755</v>
      </c>
      <c r="I14">
        <f t="shared" si="3"/>
        <v>175.56312916666667</v>
      </c>
      <c r="J14">
        <f t="shared" si="4"/>
        <v>198.74487583333334</v>
      </c>
      <c r="K14">
        <f t="shared" si="5"/>
        <v>2583.6833858333334</v>
      </c>
    </row>
    <row r="15" spans="1:11">
      <c r="A15">
        <v>14</v>
      </c>
      <c r="B15" s="6">
        <v>8774269</v>
      </c>
      <c r="C15" s="6">
        <v>8225731</v>
      </c>
      <c r="D15">
        <f t="shared" si="0"/>
        <v>3290292.4</v>
      </c>
      <c r="E15">
        <f t="shared" si="1"/>
        <v>5.4838206666666665</v>
      </c>
      <c r="F15">
        <f t="shared" si="2"/>
        <v>17.548538000000001</v>
      </c>
      <c r="G15">
        <f>IFERROR(B15+C15,0)</f>
        <v>17000000</v>
      </c>
      <c r="H15">
        <f>SUM($G$2:G15)</f>
        <v>227675755</v>
      </c>
      <c r="I15">
        <f t="shared" si="3"/>
        <v>189.72979583333333</v>
      </c>
      <c r="J15">
        <f t="shared" si="4"/>
        <v>212.76215450000001</v>
      </c>
      <c r="K15">
        <f t="shared" si="5"/>
        <v>2978.6701630000002</v>
      </c>
    </row>
    <row r="16" spans="1:11">
      <c r="A16">
        <v>15</v>
      </c>
      <c r="B16" s="6">
        <v>7254861</v>
      </c>
      <c r="C16" s="6">
        <v>9745139</v>
      </c>
      <c r="D16">
        <f t="shared" si="0"/>
        <v>3898055.6</v>
      </c>
      <c r="E16">
        <f t="shared" si="1"/>
        <v>6.4967593333333342</v>
      </c>
      <c r="F16">
        <f t="shared" si="2"/>
        <v>14.509722</v>
      </c>
      <c r="G16">
        <f>IFERROR(B16+C16,0)</f>
        <v>17000000</v>
      </c>
      <c r="H16">
        <f>SUM($G$2:G16)</f>
        <v>244675755</v>
      </c>
      <c r="I16">
        <f t="shared" si="3"/>
        <v>203.89646250000001</v>
      </c>
      <c r="J16">
        <f t="shared" si="4"/>
        <v>224.90294383333335</v>
      </c>
      <c r="K16">
        <f t="shared" si="5"/>
        <v>3373.5441575000004</v>
      </c>
    </row>
    <row r="17" spans="1:11">
      <c r="A17">
        <v>16</v>
      </c>
      <c r="B17" s="6">
        <v>6082760</v>
      </c>
      <c r="C17" s="6">
        <v>10917240</v>
      </c>
      <c r="D17">
        <f t="shared" si="0"/>
        <v>4366896</v>
      </c>
      <c r="E17">
        <f t="shared" si="1"/>
        <v>7.2781600000000006</v>
      </c>
      <c r="F17">
        <f t="shared" si="2"/>
        <v>12.165520000000001</v>
      </c>
      <c r="G17">
        <f>IFERROR(B17+C17,0)</f>
        <v>17000000</v>
      </c>
      <c r="H17">
        <f>SUM($G$2:G17)</f>
        <v>261675755</v>
      </c>
      <c r="I17">
        <f t="shared" si="3"/>
        <v>218.06312916666664</v>
      </c>
      <c r="J17">
        <f t="shared" si="4"/>
        <v>237.50680916666664</v>
      </c>
      <c r="K17">
        <f t="shared" si="5"/>
        <v>3800.1089466666663</v>
      </c>
    </row>
    <row r="18" spans="1:11">
      <c r="A18">
        <v>17</v>
      </c>
      <c r="B18" s="6">
        <v>5992285</v>
      </c>
      <c r="C18" s="6">
        <v>11007715</v>
      </c>
      <c r="D18">
        <f t="shared" si="0"/>
        <v>4403086</v>
      </c>
      <c r="E18">
        <f t="shared" si="1"/>
        <v>7.3384766666666659</v>
      </c>
      <c r="F18">
        <f t="shared" si="2"/>
        <v>11.98457</v>
      </c>
      <c r="G18">
        <f>IFERROR(B18+C18,0)</f>
        <v>17000000</v>
      </c>
      <c r="H18">
        <f>SUM($G$2:G18)</f>
        <v>278675755</v>
      </c>
      <c r="I18">
        <f t="shared" si="3"/>
        <v>232.22979583333336</v>
      </c>
      <c r="J18">
        <f t="shared" si="4"/>
        <v>251.55284250000003</v>
      </c>
      <c r="K18">
        <f t="shared" si="5"/>
        <v>4276.3983225000002</v>
      </c>
    </row>
    <row r="19" spans="1:11">
      <c r="A19">
        <v>18</v>
      </c>
      <c r="B19" s="6">
        <v>6507862</v>
      </c>
      <c r="C19" s="6">
        <v>10492138</v>
      </c>
      <c r="D19">
        <f t="shared" si="0"/>
        <v>4196855.2</v>
      </c>
      <c r="E19">
        <f t="shared" si="1"/>
        <v>6.9947586666666668</v>
      </c>
      <c r="F19">
        <f t="shared" si="2"/>
        <v>13.015724000000001</v>
      </c>
      <c r="G19">
        <f>IFERROR(B19+C19,0)</f>
        <v>17000000</v>
      </c>
      <c r="H19">
        <f>SUM($G$2:G19)</f>
        <v>295675755</v>
      </c>
      <c r="I19">
        <f t="shared" si="3"/>
        <v>246.39646250000001</v>
      </c>
      <c r="J19">
        <f t="shared" si="4"/>
        <v>266.40694516666667</v>
      </c>
      <c r="K19">
        <f t="shared" si="5"/>
        <v>4795.3250129999997</v>
      </c>
    </row>
    <row r="20" spans="1:11">
      <c r="A20">
        <v>19</v>
      </c>
      <c r="B20" s="6">
        <v>6460847</v>
      </c>
      <c r="C20" s="6">
        <v>10539153</v>
      </c>
      <c r="D20">
        <f t="shared" si="0"/>
        <v>4215661.2</v>
      </c>
      <c r="E20">
        <f t="shared" si="1"/>
        <v>7.0261020000000007</v>
      </c>
      <c r="F20">
        <f t="shared" si="2"/>
        <v>12.921694</v>
      </c>
      <c r="G20">
        <f>IFERROR(B20+C20,0)</f>
        <v>17000000</v>
      </c>
      <c r="H20">
        <f>SUM($G$2:G20)</f>
        <v>312675755</v>
      </c>
      <c r="I20">
        <f t="shared" si="3"/>
        <v>260.56312916666667</v>
      </c>
      <c r="J20">
        <f t="shared" si="4"/>
        <v>280.51092516666665</v>
      </c>
      <c r="K20">
        <f t="shared" si="5"/>
        <v>5329.7075781666663</v>
      </c>
    </row>
    <row r="21" spans="1:11">
      <c r="A21">
        <v>20</v>
      </c>
      <c r="B21" s="6">
        <v>6147048</v>
      </c>
      <c r="C21" s="6">
        <v>10852952</v>
      </c>
      <c r="D21">
        <f t="shared" si="0"/>
        <v>4341180.8</v>
      </c>
      <c r="E21">
        <f t="shared" si="1"/>
        <v>7.235301333333334</v>
      </c>
      <c r="F21">
        <f t="shared" si="2"/>
        <v>12.294096</v>
      </c>
      <c r="G21">
        <f>IFERROR(B21+C21,0)</f>
        <v>17000000</v>
      </c>
      <c r="H21">
        <f>SUM($G$2:G21)</f>
        <v>329675755</v>
      </c>
      <c r="I21">
        <f t="shared" si="3"/>
        <v>274.72979583333336</v>
      </c>
      <c r="J21">
        <f t="shared" si="4"/>
        <v>294.25919316666671</v>
      </c>
      <c r="K21">
        <f t="shared" si="5"/>
        <v>5885.1838633333336</v>
      </c>
    </row>
    <row r="22" spans="1:11">
      <c r="A22">
        <v>21</v>
      </c>
      <c r="B22" s="6">
        <v>5718909</v>
      </c>
      <c r="C22" s="6">
        <v>11281091</v>
      </c>
      <c r="D22">
        <f t="shared" si="0"/>
        <v>4512436.4000000004</v>
      </c>
      <c r="E22">
        <f t="shared" si="1"/>
        <v>7.5207273333333342</v>
      </c>
      <c r="F22">
        <f t="shared" ref="F22:F30" si="6">(B22*2)/1000000</f>
        <v>11.437818</v>
      </c>
      <c r="G22">
        <f t="shared" ref="G22:G30" si="7">IFERROR(B22+C22,0)</f>
        <v>17000000</v>
      </c>
      <c r="H22">
        <f>SUM($G$2:G22)</f>
        <v>346675755</v>
      </c>
      <c r="I22">
        <f t="shared" si="3"/>
        <v>288.89646249999998</v>
      </c>
      <c r="J22">
        <f t="shared" ref="J22:J30" si="8">I22+F22+E22</f>
        <v>307.85500783333333</v>
      </c>
      <c r="K22">
        <f t="shared" ref="K22:K30" si="9">A22*J22</f>
        <v>6464.9551645000001</v>
      </c>
    </row>
    <row r="23" spans="1:11">
      <c r="A23">
        <v>22</v>
      </c>
      <c r="B23" s="6">
        <v>5246786</v>
      </c>
      <c r="C23" s="6">
        <v>11753214</v>
      </c>
      <c r="D23">
        <f t="shared" si="0"/>
        <v>4701285.5999999996</v>
      </c>
      <c r="E23">
        <f t="shared" si="1"/>
        <v>7.8354759999999999</v>
      </c>
      <c r="F23">
        <f t="shared" si="6"/>
        <v>10.493572</v>
      </c>
      <c r="G23">
        <f t="shared" si="7"/>
        <v>17000000</v>
      </c>
      <c r="H23">
        <f>SUM($G$2:G23)</f>
        <v>363675755</v>
      </c>
      <c r="I23">
        <f t="shared" si="3"/>
        <v>303.06312916666667</v>
      </c>
      <c r="J23">
        <f t="shared" si="8"/>
        <v>321.39217716666667</v>
      </c>
      <c r="K23">
        <f t="shared" si="9"/>
        <v>7070.6278976666672</v>
      </c>
    </row>
    <row r="24" spans="1:11">
      <c r="A24">
        <v>23</v>
      </c>
      <c r="B24" s="6">
        <v>5167211</v>
      </c>
      <c r="C24" s="6">
        <v>11832789</v>
      </c>
      <c r="D24">
        <f t="shared" si="0"/>
        <v>4733115.5999999996</v>
      </c>
      <c r="E24">
        <f t="shared" si="1"/>
        <v>7.8885259999999997</v>
      </c>
      <c r="F24">
        <f t="shared" si="6"/>
        <v>10.334422</v>
      </c>
      <c r="G24">
        <f t="shared" si="7"/>
        <v>17000000</v>
      </c>
      <c r="H24">
        <f>SUM($G$2:G24)</f>
        <v>380675755</v>
      </c>
      <c r="I24">
        <f t="shared" si="3"/>
        <v>317.22979583333336</v>
      </c>
      <c r="J24">
        <f t="shared" si="8"/>
        <v>335.45274383333339</v>
      </c>
      <c r="K24">
        <f t="shared" si="9"/>
        <v>7715.4131081666683</v>
      </c>
    </row>
    <row r="25" spans="1:11">
      <c r="A25">
        <v>24</v>
      </c>
      <c r="B25" s="6">
        <v>4996147</v>
      </c>
      <c r="C25" s="6">
        <v>12003853</v>
      </c>
      <c r="D25">
        <f t="shared" si="0"/>
        <v>4801541.2</v>
      </c>
      <c r="E25">
        <f t="shared" si="1"/>
        <v>8.0025686666666669</v>
      </c>
      <c r="F25">
        <f t="shared" si="6"/>
        <v>9.9922939999999993</v>
      </c>
      <c r="G25">
        <f t="shared" si="7"/>
        <v>17000000</v>
      </c>
      <c r="H25">
        <f>SUM($G$2:G25)</f>
        <v>397675755</v>
      </c>
      <c r="I25">
        <f t="shared" si="3"/>
        <v>331.39646249999998</v>
      </c>
      <c r="J25">
        <f t="shared" si="8"/>
        <v>349.39132516666666</v>
      </c>
      <c r="K25">
        <f t="shared" si="9"/>
        <v>8385.391803999999</v>
      </c>
    </row>
    <row r="26" spans="1:11">
      <c r="A26">
        <v>25</v>
      </c>
      <c r="B26" s="6">
        <v>4960191</v>
      </c>
      <c r="C26" s="6">
        <v>12039809</v>
      </c>
      <c r="D26">
        <f t="shared" si="0"/>
        <v>4815923.5999999996</v>
      </c>
      <c r="E26">
        <f t="shared" si="1"/>
        <v>8.0265393333333321</v>
      </c>
      <c r="F26">
        <f t="shared" si="6"/>
        <v>9.920382</v>
      </c>
      <c r="G26">
        <f t="shared" si="7"/>
        <v>17000000</v>
      </c>
      <c r="H26">
        <f>SUM($G$2:G26)</f>
        <v>414675755</v>
      </c>
      <c r="I26">
        <f t="shared" si="3"/>
        <v>345.56312916666667</v>
      </c>
      <c r="J26">
        <f t="shared" si="8"/>
        <v>363.51005050000003</v>
      </c>
      <c r="K26">
        <f t="shared" si="9"/>
        <v>9087.7512625000018</v>
      </c>
    </row>
    <row r="27" spans="1:11">
      <c r="A27">
        <v>26</v>
      </c>
      <c r="B27" s="6">
        <v>4447218</v>
      </c>
      <c r="C27" s="6">
        <v>12552782</v>
      </c>
      <c r="D27">
        <f t="shared" si="0"/>
        <v>5021112.8</v>
      </c>
      <c r="E27">
        <f t="shared" si="1"/>
        <v>8.3685213333333337</v>
      </c>
      <c r="F27">
        <f t="shared" si="6"/>
        <v>8.8944360000000007</v>
      </c>
      <c r="G27">
        <f t="shared" si="7"/>
        <v>17000000</v>
      </c>
      <c r="H27">
        <f>SUM($G$2:G27)</f>
        <v>431675755</v>
      </c>
      <c r="I27">
        <f t="shared" si="3"/>
        <v>359.72979583333336</v>
      </c>
      <c r="J27">
        <f t="shared" si="8"/>
        <v>376.99275316666666</v>
      </c>
      <c r="K27">
        <f t="shared" si="9"/>
        <v>9801.8115823333337</v>
      </c>
    </row>
    <row r="28" spans="1:11">
      <c r="A28">
        <v>27</v>
      </c>
      <c r="B28" s="6">
        <v>5499079</v>
      </c>
      <c r="C28" s="6">
        <v>11500921</v>
      </c>
      <c r="D28">
        <f t="shared" si="0"/>
        <v>4600368.4000000004</v>
      </c>
      <c r="E28">
        <f t="shared" si="1"/>
        <v>7.6672806666666675</v>
      </c>
      <c r="F28">
        <f t="shared" si="6"/>
        <v>10.998158</v>
      </c>
      <c r="G28">
        <f t="shared" si="7"/>
        <v>17000000</v>
      </c>
      <c r="H28">
        <f>SUM($G$2:G28)</f>
        <v>448675755</v>
      </c>
      <c r="I28">
        <f t="shared" si="3"/>
        <v>373.89646249999998</v>
      </c>
      <c r="J28">
        <f t="shared" si="8"/>
        <v>392.56190116666664</v>
      </c>
      <c r="K28">
        <f t="shared" si="9"/>
        <v>10599.1713315</v>
      </c>
    </row>
    <row r="29" spans="1:11">
      <c r="A29">
        <v>28</v>
      </c>
      <c r="B29" s="6">
        <v>6245865</v>
      </c>
      <c r="C29" s="6">
        <v>10754135</v>
      </c>
      <c r="D29">
        <f t="shared" si="0"/>
        <v>4301654</v>
      </c>
      <c r="E29">
        <f t="shared" si="1"/>
        <v>7.1694233333333335</v>
      </c>
      <c r="F29">
        <f t="shared" si="6"/>
        <v>12.49173</v>
      </c>
      <c r="G29">
        <f t="shared" si="7"/>
        <v>17000000</v>
      </c>
      <c r="H29">
        <f>SUM($G$2:G29)</f>
        <v>465675755</v>
      </c>
      <c r="I29">
        <f t="shared" si="3"/>
        <v>388.06312916666667</v>
      </c>
      <c r="J29">
        <f t="shared" si="8"/>
        <v>407.72428250000002</v>
      </c>
      <c r="K29">
        <f t="shared" si="9"/>
        <v>11416.279910000001</v>
      </c>
    </row>
    <row r="30" spans="1:11">
      <c r="A30">
        <v>29</v>
      </c>
      <c r="B30" s="6">
        <v>1719221</v>
      </c>
      <c r="C30" s="6">
        <v>1410144</v>
      </c>
      <c r="D30">
        <f t="shared" si="0"/>
        <v>564057.59999999998</v>
      </c>
      <c r="E30">
        <f t="shared" si="1"/>
        <v>0.94009599999999993</v>
      </c>
      <c r="F30">
        <f t="shared" si="6"/>
        <v>3.4384420000000002</v>
      </c>
      <c r="G30">
        <f t="shared" si="7"/>
        <v>3129365</v>
      </c>
      <c r="H30">
        <f>SUM($G$2:G30)</f>
        <v>468805120</v>
      </c>
      <c r="I30">
        <f t="shared" si="3"/>
        <v>390.67093333333332</v>
      </c>
      <c r="J30">
        <f t="shared" si="8"/>
        <v>395.04947133333332</v>
      </c>
      <c r="K30">
        <f t="shared" si="9"/>
        <v>11456.434668666667</v>
      </c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249971199</v>
      </c>
    </row>
    <row r="37" spans="1:10">
      <c r="H37" s="14" t="s">
        <v>37</v>
      </c>
      <c r="I37" t="s">
        <v>2</v>
      </c>
      <c r="J37" s="15">
        <f>MAX(K2:K33)</f>
        <v>11456.434668666667</v>
      </c>
    </row>
    <row r="38" spans="1:10">
      <c r="I38" t="s">
        <v>3</v>
      </c>
      <c r="J38" s="15">
        <f>MAX(J2:J33)</f>
        <v>407.72428250000002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>
        <v>1</v>
      </c>
      <c r="B58" s="6">
        <v>10000000</v>
      </c>
      <c r="C58" s="6">
        <v>5913171</v>
      </c>
      <c r="D58" s="6">
        <v>0.59</v>
      </c>
      <c r="E58" s="6">
        <v>2.3163</v>
      </c>
      <c r="F58" s="6">
        <v>827279070</v>
      </c>
      <c r="G58" s="6">
        <v>752071882</v>
      </c>
    </row>
    <row r="59" spans="1:9">
      <c r="A59" s="6">
        <v>2</v>
      </c>
      <c r="B59" s="6">
        <v>10000000</v>
      </c>
      <c r="C59" s="6">
        <v>5961872</v>
      </c>
      <c r="D59" s="6">
        <v>0.6</v>
      </c>
      <c r="E59" s="6">
        <v>1.7250000000000001</v>
      </c>
      <c r="F59" s="6">
        <v>553467842</v>
      </c>
      <c r="G59" s="6">
        <v>457411439</v>
      </c>
    </row>
    <row r="60" spans="1:9">
      <c r="A60" s="6">
        <v>3</v>
      </c>
      <c r="B60" s="6">
        <v>10000000</v>
      </c>
      <c r="C60" s="6">
        <v>6592818</v>
      </c>
      <c r="D60" s="6">
        <v>0.66</v>
      </c>
      <c r="E60" s="6">
        <v>2.12</v>
      </c>
      <c r="F60" s="6">
        <v>734209806</v>
      </c>
      <c r="G60" s="6">
        <v>551622694</v>
      </c>
    </row>
    <row r="61" spans="1:9">
      <c r="A61" s="6">
        <v>4</v>
      </c>
      <c r="B61" s="6">
        <v>9987156</v>
      </c>
      <c r="C61" s="6">
        <v>7012844</v>
      </c>
      <c r="D61" s="6">
        <v>0.7</v>
      </c>
      <c r="E61" s="6">
        <v>2.4777999999999998</v>
      </c>
      <c r="F61" s="6">
        <v>897218937</v>
      </c>
      <c r="G61" s="6">
        <v>612812606</v>
      </c>
    </row>
    <row r="62" spans="1:9">
      <c r="A62" s="6">
        <v>5</v>
      </c>
      <c r="B62" s="6">
        <v>9143937</v>
      </c>
      <c r="C62" s="6">
        <v>7856063</v>
      </c>
      <c r="D62" s="6">
        <v>0.86</v>
      </c>
      <c r="E62" s="6">
        <v>2.5063</v>
      </c>
      <c r="F62" s="6">
        <v>828817778</v>
      </c>
      <c r="G62" s="6">
        <v>514630631</v>
      </c>
    </row>
    <row r="63" spans="1:9">
      <c r="A63" s="6">
        <v>6</v>
      </c>
      <c r="B63" s="6">
        <v>9595959</v>
      </c>
      <c r="C63" s="6">
        <v>7404041</v>
      </c>
      <c r="D63" s="6">
        <v>0.77</v>
      </c>
      <c r="E63" s="6">
        <v>2.4849999999999999</v>
      </c>
      <c r="F63" s="6">
        <v>863094718</v>
      </c>
      <c r="G63" s="6">
        <v>487194467</v>
      </c>
    </row>
    <row r="64" spans="1:9">
      <c r="A64" s="6">
        <v>7</v>
      </c>
      <c r="B64" s="6">
        <v>10000000</v>
      </c>
      <c r="C64" s="6">
        <v>5650495</v>
      </c>
      <c r="D64" s="6">
        <v>0.56999999999999995</v>
      </c>
      <c r="E64" s="6">
        <v>2.4169</v>
      </c>
      <c r="F64" s="6">
        <v>874708310</v>
      </c>
      <c r="G64" s="6">
        <v>448863671</v>
      </c>
    </row>
    <row r="65" spans="1:7">
      <c r="A65" s="6">
        <v>8</v>
      </c>
      <c r="B65" s="6">
        <v>10000000</v>
      </c>
      <c r="C65" s="6">
        <v>5135435</v>
      </c>
      <c r="D65" s="6">
        <v>0.51</v>
      </c>
      <c r="E65" s="6">
        <v>2.36</v>
      </c>
      <c r="F65" s="6">
        <v>850058709</v>
      </c>
      <c r="G65" s="6">
        <v>396558661</v>
      </c>
    </row>
    <row r="66" spans="1:7">
      <c r="A66" s="6">
        <v>9</v>
      </c>
      <c r="B66" s="6">
        <v>10000000</v>
      </c>
      <c r="C66" s="6">
        <v>5006375</v>
      </c>
      <c r="D66" s="6">
        <v>0.5</v>
      </c>
      <c r="E66" s="6">
        <v>2.3656000000000001</v>
      </c>
      <c r="F66" s="6">
        <v>853089425</v>
      </c>
      <c r="G66" s="6">
        <v>361793193</v>
      </c>
    </row>
    <row r="67" spans="1:7">
      <c r="A67" s="6">
        <v>10</v>
      </c>
      <c r="B67" s="6">
        <v>10000000</v>
      </c>
      <c r="C67" s="6">
        <v>4855569</v>
      </c>
      <c r="D67" s="6">
        <v>0.49</v>
      </c>
      <c r="E67" s="6">
        <v>2.4388000000000001</v>
      </c>
      <c r="F67" s="6">
        <v>887454566</v>
      </c>
      <c r="G67" s="6">
        <v>342152153</v>
      </c>
    </row>
    <row r="68" spans="1:7">
      <c r="A68" s="6">
        <v>11</v>
      </c>
      <c r="B68" s="6">
        <v>10000000</v>
      </c>
      <c r="C68" s="6">
        <v>6567568</v>
      </c>
      <c r="D68" s="6">
        <v>0.66</v>
      </c>
      <c r="E68" s="6">
        <v>2.5236000000000001</v>
      </c>
      <c r="F68" s="6">
        <v>921046867</v>
      </c>
      <c r="G68" s="6">
        <v>322821308</v>
      </c>
    </row>
    <row r="69" spans="1:7">
      <c r="A69" s="6">
        <v>12</v>
      </c>
      <c r="B69" s="6">
        <v>10000000</v>
      </c>
      <c r="C69" s="6">
        <v>6992452</v>
      </c>
      <c r="D69" s="6">
        <v>0.7</v>
      </c>
      <c r="E69" s="6">
        <v>3.0417999999999998</v>
      </c>
      <c r="F69" s="6">
        <v>1159476545</v>
      </c>
      <c r="G69" s="6">
        <v>369444960</v>
      </c>
    </row>
    <row r="70" spans="1:7">
      <c r="A70" s="6">
        <v>13</v>
      </c>
      <c r="B70" s="6">
        <v>8886310</v>
      </c>
      <c r="C70" s="6">
        <v>8113690</v>
      </c>
      <c r="D70" s="6">
        <v>0.91</v>
      </c>
      <c r="E70" s="6">
        <v>1.6128</v>
      </c>
      <c r="F70" s="6">
        <v>436467521</v>
      </c>
      <c r="G70" s="6">
        <v>126429094</v>
      </c>
    </row>
    <row r="71" spans="1:7">
      <c r="A71" s="6">
        <v>14</v>
      </c>
      <c r="B71" s="6">
        <v>8774269</v>
      </c>
      <c r="C71" s="6">
        <v>8225731</v>
      </c>
      <c r="D71" s="6">
        <v>0.94</v>
      </c>
      <c r="E71" s="6">
        <v>1.0706</v>
      </c>
      <c r="F71" s="6">
        <v>210084261</v>
      </c>
      <c r="G71" s="6">
        <v>55321752</v>
      </c>
    </row>
    <row r="72" spans="1:7">
      <c r="A72" s="6">
        <v>15</v>
      </c>
      <c r="B72" s="6">
        <v>7254861</v>
      </c>
      <c r="C72" s="6">
        <v>9745139</v>
      </c>
      <c r="D72" s="6">
        <v>1.34</v>
      </c>
      <c r="E72" s="6">
        <v>1.2095</v>
      </c>
      <c r="F72" s="6">
        <v>210663831</v>
      </c>
      <c r="G72" s="6">
        <v>50431246</v>
      </c>
    </row>
    <row r="73" spans="1:7">
      <c r="A73" s="6">
        <v>16</v>
      </c>
      <c r="B73" s="6">
        <v>6082760</v>
      </c>
      <c r="C73" s="6">
        <v>10917240</v>
      </c>
      <c r="D73" s="6">
        <v>1.79</v>
      </c>
      <c r="E73" s="6">
        <v>1.1021000000000001</v>
      </c>
      <c r="F73" s="6">
        <v>137399781</v>
      </c>
      <c r="G73" s="6">
        <v>29902196</v>
      </c>
    </row>
    <row r="74" spans="1:7">
      <c r="A74" s="6">
        <v>17</v>
      </c>
      <c r="B74" s="6">
        <v>5992285</v>
      </c>
      <c r="C74" s="6">
        <v>11007715</v>
      </c>
      <c r="D74" s="6">
        <v>1.84</v>
      </c>
      <c r="E74" s="6">
        <v>1.1133</v>
      </c>
      <c r="F74" s="6">
        <v>137616784</v>
      </c>
      <c r="G74" s="6">
        <v>27226747</v>
      </c>
    </row>
    <row r="75" spans="1:7">
      <c r="A75" s="6">
        <v>18</v>
      </c>
      <c r="B75" s="6">
        <v>6507862</v>
      </c>
      <c r="C75" s="6">
        <v>10492138</v>
      </c>
      <c r="D75" s="6">
        <v>1.61</v>
      </c>
      <c r="E75" s="6">
        <v>1.2037</v>
      </c>
      <c r="F75" s="6">
        <v>181500526</v>
      </c>
      <c r="G75" s="6">
        <v>32644465</v>
      </c>
    </row>
    <row r="76" spans="1:7">
      <c r="A76" s="6">
        <v>19</v>
      </c>
      <c r="B76" s="6">
        <v>6460847</v>
      </c>
      <c r="C76" s="6">
        <v>10539153</v>
      </c>
      <c r="D76" s="6">
        <v>1.63</v>
      </c>
      <c r="E76" s="6">
        <v>1.2231000000000001</v>
      </c>
      <c r="F76" s="6">
        <v>185594774</v>
      </c>
      <c r="G76" s="6">
        <v>30346229</v>
      </c>
    </row>
    <row r="77" spans="1:7">
      <c r="A77" s="6">
        <v>20</v>
      </c>
      <c r="B77" s="6">
        <v>6147048</v>
      </c>
      <c r="C77" s="6">
        <v>10852952</v>
      </c>
      <c r="D77" s="6">
        <v>1.77</v>
      </c>
      <c r="E77" s="6">
        <v>1.2490000000000001</v>
      </c>
      <c r="F77" s="6">
        <v>181239780</v>
      </c>
      <c r="G77" s="6">
        <v>26940138</v>
      </c>
    </row>
    <row r="78" spans="1:7">
      <c r="A78" s="6">
        <v>21</v>
      </c>
      <c r="B78" s="6">
        <v>5718909</v>
      </c>
      <c r="C78" s="6">
        <v>11281091</v>
      </c>
      <c r="D78" s="6">
        <v>1.97</v>
      </c>
      <c r="E78" s="6">
        <v>1.2732000000000001</v>
      </c>
      <c r="F78" s="6">
        <v>171116102</v>
      </c>
      <c r="G78" s="6">
        <v>23123017</v>
      </c>
    </row>
    <row r="79" spans="1:7">
      <c r="A79" s="6">
        <v>22</v>
      </c>
      <c r="B79" s="6">
        <v>5246786</v>
      </c>
      <c r="C79" s="6">
        <v>11753214</v>
      </c>
      <c r="D79" s="6">
        <v>2.2400000000000002</v>
      </c>
      <c r="E79" s="6">
        <v>1.2858000000000001</v>
      </c>
      <c r="F79" s="6">
        <v>155462569</v>
      </c>
      <c r="G79" s="6">
        <v>19097951</v>
      </c>
    </row>
    <row r="80" spans="1:7">
      <c r="A80" s="6">
        <v>23</v>
      </c>
      <c r="B80" s="6">
        <v>5167211</v>
      </c>
      <c r="C80" s="6">
        <v>11832789</v>
      </c>
      <c r="D80" s="6">
        <v>2.29</v>
      </c>
      <c r="E80" s="6">
        <v>1.3573</v>
      </c>
      <c r="F80" s="6">
        <v>169352384</v>
      </c>
      <c r="G80" s="6">
        <v>18912962</v>
      </c>
    </row>
    <row r="81" spans="1:7">
      <c r="A81" s="6">
        <v>24</v>
      </c>
      <c r="B81" s="6">
        <v>4996147</v>
      </c>
      <c r="C81" s="6">
        <v>12003853</v>
      </c>
      <c r="D81" s="6">
        <v>2.4</v>
      </c>
      <c r="E81" s="6">
        <v>1.4782999999999999</v>
      </c>
      <c r="F81" s="6">
        <v>189876595</v>
      </c>
      <c r="G81" s="6">
        <v>19277335</v>
      </c>
    </row>
    <row r="82" spans="1:7">
      <c r="A82" s="6">
        <v>25</v>
      </c>
      <c r="B82" s="6">
        <v>4960191</v>
      </c>
      <c r="C82" s="6">
        <v>12039809</v>
      </c>
      <c r="D82" s="6">
        <v>2.4300000000000002</v>
      </c>
      <c r="E82" s="6">
        <v>1.5591999999999999</v>
      </c>
      <c r="F82" s="6">
        <v>206682650</v>
      </c>
      <c r="G82" s="6">
        <v>19075982</v>
      </c>
    </row>
    <row r="83" spans="1:7">
      <c r="A83" s="6">
        <v>26</v>
      </c>
      <c r="B83" s="6">
        <v>4447218</v>
      </c>
      <c r="C83" s="6">
        <v>12552782</v>
      </c>
      <c r="D83" s="6">
        <v>2.82</v>
      </c>
      <c r="E83" s="6">
        <v>1.8217000000000001</v>
      </c>
      <c r="F83" s="6">
        <v>233569781</v>
      </c>
      <c r="G83" s="6">
        <v>19597778</v>
      </c>
    </row>
    <row r="84" spans="1:7">
      <c r="A84" s="6">
        <v>27</v>
      </c>
      <c r="B84" s="6">
        <v>5499079</v>
      </c>
      <c r="C84" s="6">
        <v>11500921</v>
      </c>
      <c r="D84" s="6">
        <v>2.09</v>
      </c>
      <c r="E84" s="6">
        <v>1.9100999999999999</v>
      </c>
      <c r="F84" s="6">
        <v>324496249</v>
      </c>
      <c r="G84" s="6">
        <v>24751822</v>
      </c>
    </row>
    <row r="85" spans="1:7">
      <c r="A85" s="6">
        <v>28</v>
      </c>
      <c r="B85" s="6">
        <v>6245865</v>
      </c>
      <c r="C85" s="6">
        <v>10754135</v>
      </c>
      <c r="D85" s="6">
        <v>1.72</v>
      </c>
      <c r="E85" s="6">
        <v>1.7567999999999999</v>
      </c>
      <c r="F85" s="6">
        <v>331811059</v>
      </c>
      <c r="G85" s="6">
        <v>23008890</v>
      </c>
    </row>
    <row r="86" spans="1:7">
      <c r="A86" s="6">
        <v>29</v>
      </c>
      <c r="B86" s="6">
        <v>1719221</v>
      </c>
      <c r="C86" s="6">
        <v>1410144</v>
      </c>
      <c r="D86" s="6">
        <v>0.82</v>
      </c>
      <c r="E86" s="6">
        <v>3.2730999999999999</v>
      </c>
      <c r="F86" s="6">
        <v>217065024</v>
      </c>
      <c r="G86" s="6">
        <v>14790236</v>
      </c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92"/>
  <sheetViews>
    <sheetView zoomScale="70" zoomScaleNormal="70" workbookViewId="0">
      <selection activeCell="J41" sqref="J41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9000000</v>
      </c>
      <c r="C2" s="6">
        <v>5308339</v>
      </c>
      <c r="D2">
        <f>C2/2.5</f>
        <v>2123335.6</v>
      </c>
      <c r="E2">
        <f>(D2/60)/10000</f>
        <v>3.5388926666666665</v>
      </c>
      <c r="F2">
        <f>(B2*2)/1000000</f>
        <v>18</v>
      </c>
      <c r="G2">
        <f>IFERROR(B2+C2,0)</f>
        <v>14308339</v>
      </c>
      <c r="H2">
        <f>SUM($G$2:G2)</f>
        <v>14308339</v>
      </c>
      <c r="I2">
        <f>((H2/2.5)/52)/10000</f>
        <v>11.006414615384614</v>
      </c>
      <c r="J2">
        <f>I2+F2+E2</f>
        <v>32.545307282051283</v>
      </c>
      <c r="K2">
        <f>A2*J2</f>
        <v>32.545307282051283</v>
      </c>
    </row>
    <row r="3" spans="1:11">
      <c r="A3">
        <v>2</v>
      </c>
      <c r="B3" s="6">
        <v>9000000</v>
      </c>
      <c r="C3" s="6">
        <v>5370617</v>
      </c>
      <c r="D3">
        <f t="shared" ref="D3:D36" si="0">C3/2.5</f>
        <v>2148246.7999999998</v>
      </c>
      <c r="E3">
        <f t="shared" ref="E3:E36" si="1">(D3/60)/10000</f>
        <v>3.5804113333333327</v>
      </c>
      <c r="F3">
        <f t="shared" ref="F3:F34" si="2">(B3*2)/1000000</f>
        <v>18</v>
      </c>
      <c r="G3">
        <f>IFERROR(B3+C3,0)</f>
        <v>14370617</v>
      </c>
      <c r="H3">
        <f>SUM($G$2:G3)</f>
        <v>28678956</v>
      </c>
      <c r="I3">
        <f t="shared" ref="I3:I36" si="3">((H3/2.5)/52)/10000</f>
        <v>22.060735384615384</v>
      </c>
      <c r="J3">
        <f t="shared" ref="J3:J30" si="4">I3+F3+E3</f>
        <v>43.641146717948715</v>
      </c>
      <c r="K3">
        <f t="shared" ref="K3:K30" si="5">A3*J3</f>
        <v>87.282293435897429</v>
      </c>
    </row>
    <row r="4" spans="1:11">
      <c r="A4">
        <v>3</v>
      </c>
      <c r="B4" s="6">
        <v>9000000</v>
      </c>
      <c r="C4" s="6">
        <v>5652173</v>
      </c>
      <c r="D4">
        <f t="shared" si="0"/>
        <v>2260869.2000000002</v>
      </c>
      <c r="E4">
        <f t="shared" si="1"/>
        <v>3.7681153333333337</v>
      </c>
      <c r="F4">
        <f t="shared" si="2"/>
        <v>18</v>
      </c>
      <c r="G4">
        <f>IFERROR(B4+C4,0)</f>
        <v>14652173</v>
      </c>
      <c r="H4">
        <f>SUM($G$2:G4)</f>
        <v>43331129</v>
      </c>
      <c r="I4">
        <f t="shared" si="3"/>
        <v>33.331637692307694</v>
      </c>
      <c r="J4">
        <f t="shared" si="4"/>
        <v>55.099753025641029</v>
      </c>
      <c r="K4">
        <f t="shared" si="5"/>
        <v>165.29925907692308</v>
      </c>
    </row>
    <row r="5" spans="1:11">
      <c r="A5">
        <v>4</v>
      </c>
      <c r="B5" s="6">
        <v>9000000</v>
      </c>
      <c r="C5" s="6">
        <v>6248568</v>
      </c>
      <c r="D5">
        <f t="shared" si="0"/>
        <v>2499427.2000000002</v>
      </c>
      <c r="E5">
        <f t="shared" si="1"/>
        <v>4.1657120000000001</v>
      </c>
      <c r="F5">
        <f t="shared" si="2"/>
        <v>18</v>
      </c>
      <c r="G5">
        <f>IFERROR(B5+C5,0)</f>
        <v>15248568</v>
      </c>
      <c r="H5">
        <f>SUM($G$2:G5)</f>
        <v>58579697</v>
      </c>
      <c r="I5">
        <f t="shared" si="3"/>
        <v>45.06130538461538</v>
      </c>
      <c r="J5">
        <f t="shared" si="4"/>
        <v>67.22701738461538</v>
      </c>
      <c r="K5">
        <f t="shared" si="5"/>
        <v>268.90806953846152</v>
      </c>
    </row>
    <row r="6" spans="1:11">
      <c r="A6">
        <v>5</v>
      </c>
      <c r="B6" s="6">
        <v>9000000</v>
      </c>
      <c r="C6" s="6">
        <v>7081806</v>
      </c>
      <c r="D6">
        <f t="shared" si="0"/>
        <v>2832722.4</v>
      </c>
      <c r="E6">
        <f t="shared" si="1"/>
        <v>4.7212040000000002</v>
      </c>
      <c r="F6">
        <f t="shared" si="2"/>
        <v>18</v>
      </c>
      <c r="G6">
        <f>IFERROR(B6+C6,0)</f>
        <v>16081806</v>
      </c>
      <c r="H6">
        <f>SUM($G$2:G6)</f>
        <v>74661503</v>
      </c>
      <c r="I6">
        <f t="shared" si="3"/>
        <v>57.431925384615383</v>
      </c>
      <c r="J6">
        <f t="shared" si="4"/>
        <v>80.153129384615383</v>
      </c>
      <c r="K6">
        <f t="shared" si="5"/>
        <v>400.76564692307693</v>
      </c>
    </row>
    <row r="7" spans="1:11">
      <c r="A7">
        <v>6</v>
      </c>
      <c r="B7" s="6">
        <v>9000000</v>
      </c>
      <c r="C7" s="6">
        <v>7924344</v>
      </c>
      <c r="D7">
        <f t="shared" si="0"/>
        <v>3169737.6</v>
      </c>
      <c r="E7">
        <f t="shared" si="1"/>
        <v>5.282896</v>
      </c>
      <c r="F7">
        <f t="shared" si="2"/>
        <v>18</v>
      </c>
      <c r="G7">
        <f>IFERROR(B7+C7,0)</f>
        <v>16924344</v>
      </c>
      <c r="H7">
        <f>SUM($G$2:G7)</f>
        <v>91585847</v>
      </c>
      <c r="I7">
        <f t="shared" si="3"/>
        <v>70.450651538461528</v>
      </c>
      <c r="J7">
        <f t="shared" si="4"/>
        <v>93.733547538461522</v>
      </c>
      <c r="K7">
        <f t="shared" si="5"/>
        <v>562.40128523076919</v>
      </c>
    </row>
    <row r="8" spans="1:11">
      <c r="A8">
        <v>7</v>
      </c>
      <c r="B8" s="6">
        <v>9000000</v>
      </c>
      <c r="C8" s="6">
        <v>5754586</v>
      </c>
      <c r="D8">
        <f t="shared" si="0"/>
        <v>2301834.4</v>
      </c>
      <c r="E8">
        <f t="shared" si="1"/>
        <v>3.8363906666666661</v>
      </c>
      <c r="F8">
        <f t="shared" si="2"/>
        <v>18</v>
      </c>
      <c r="G8">
        <f>IFERROR(B8+C8,0)</f>
        <v>14754586</v>
      </c>
      <c r="H8">
        <f>SUM($G$2:G8)</f>
        <v>106340433</v>
      </c>
      <c r="I8">
        <f t="shared" si="3"/>
        <v>81.800333076923081</v>
      </c>
      <c r="J8">
        <f t="shared" si="4"/>
        <v>103.63672374358974</v>
      </c>
      <c r="K8">
        <f t="shared" si="5"/>
        <v>725.45706620512817</v>
      </c>
    </row>
    <row r="9" spans="1:11">
      <c r="A9">
        <v>8</v>
      </c>
      <c r="B9" s="6">
        <v>9000000</v>
      </c>
      <c r="C9" s="6">
        <v>4577013</v>
      </c>
      <c r="D9">
        <f t="shared" si="0"/>
        <v>1830805.2</v>
      </c>
      <c r="E9">
        <f t="shared" si="1"/>
        <v>3.051342</v>
      </c>
      <c r="F9">
        <f t="shared" si="2"/>
        <v>18</v>
      </c>
      <c r="G9">
        <f>IFERROR(B9+C9,0)</f>
        <v>13577013</v>
      </c>
      <c r="H9">
        <f>SUM($G$2:G9)</f>
        <v>119917446</v>
      </c>
      <c r="I9">
        <f t="shared" si="3"/>
        <v>92.244189230769237</v>
      </c>
      <c r="J9">
        <f t="shared" si="4"/>
        <v>113.29553123076924</v>
      </c>
      <c r="K9">
        <f t="shared" si="5"/>
        <v>906.36424984615394</v>
      </c>
    </row>
    <row r="10" spans="1:11">
      <c r="A10">
        <v>9</v>
      </c>
      <c r="B10" s="6">
        <v>9000000</v>
      </c>
      <c r="C10" s="6">
        <v>4539844</v>
      </c>
      <c r="D10">
        <f t="shared" si="0"/>
        <v>1815937.6</v>
      </c>
      <c r="E10">
        <f t="shared" si="1"/>
        <v>3.0265626666666665</v>
      </c>
      <c r="F10">
        <f t="shared" si="2"/>
        <v>18</v>
      </c>
      <c r="G10">
        <f>IFERROR(B10+C10,0)</f>
        <v>13539844</v>
      </c>
      <c r="H10">
        <f>SUM($G$2:G10)</f>
        <v>133457290</v>
      </c>
      <c r="I10">
        <f t="shared" si="3"/>
        <v>102.65945384615385</v>
      </c>
      <c r="J10">
        <f t="shared" si="4"/>
        <v>123.68601651282052</v>
      </c>
      <c r="K10">
        <f t="shared" si="5"/>
        <v>1113.1741486153846</v>
      </c>
    </row>
    <row r="11" spans="1:11">
      <c r="A11">
        <v>10</v>
      </c>
      <c r="B11" s="6">
        <v>9000000</v>
      </c>
      <c r="C11" s="6">
        <v>4459239</v>
      </c>
      <c r="D11">
        <f t="shared" si="0"/>
        <v>1783695.6</v>
      </c>
      <c r="E11">
        <f t="shared" si="1"/>
        <v>2.9728260000000004</v>
      </c>
      <c r="F11">
        <f t="shared" si="2"/>
        <v>18</v>
      </c>
      <c r="G11">
        <f>IFERROR(B11+C11,0)</f>
        <v>13459239</v>
      </c>
      <c r="H11">
        <f>SUM($G$2:G11)</f>
        <v>146916529</v>
      </c>
      <c r="I11">
        <f t="shared" si="3"/>
        <v>113.01271461538462</v>
      </c>
      <c r="J11">
        <f t="shared" si="4"/>
        <v>133.98554061538462</v>
      </c>
      <c r="K11">
        <f t="shared" si="5"/>
        <v>1339.8554061538462</v>
      </c>
    </row>
    <row r="12" spans="1:11">
      <c r="A12">
        <v>11</v>
      </c>
      <c r="B12" s="6">
        <v>9000000</v>
      </c>
      <c r="C12" s="6">
        <v>4348126</v>
      </c>
      <c r="D12">
        <f t="shared" si="0"/>
        <v>1739250.4</v>
      </c>
      <c r="E12">
        <f t="shared" si="1"/>
        <v>2.8987506666666665</v>
      </c>
      <c r="F12">
        <f t="shared" si="2"/>
        <v>18</v>
      </c>
      <c r="G12">
        <f>IFERROR(B12+C12,0)</f>
        <v>13348126</v>
      </c>
      <c r="H12">
        <f>SUM($G$2:G12)</f>
        <v>160264655</v>
      </c>
      <c r="I12">
        <f t="shared" si="3"/>
        <v>123.28050384615385</v>
      </c>
      <c r="J12">
        <f t="shared" si="4"/>
        <v>144.17925451282053</v>
      </c>
      <c r="K12">
        <f t="shared" si="5"/>
        <v>1585.9717996410259</v>
      </c>
    </row>
    <row r="13" spans="1:11">
      <c r="A13">
        <v>12</v>
      </c>
      <c r="B13" s="6">
        <v>9000000</v>
      </c>
      <c r="C13" s="6">
        <v>4286597</v>
      </c>
      <c r="D13">
        <f t="shared" si="0"/>
        <v>1714638.8</v>
      </c>
      <c r="E13">
        <f t="shared" si="1"/>
        <v>2.8577313333333336</v>
      </c>
      <c r="F13">
        <f t="shared" si="2"/>
        <v>18</v>
      </c>
      <c r="G13">
        <f>IFERROR(B13+C13,0)</f>
        <v>13286597</v>
      </c>
      <c r="H13">
        <f>SUM($G$2:G13)</f>
        <v>173551252</v>
      </c>
      <c r="I13">
        <f t="shared" si="3"/>
        <v>133.50096307692306</v>
      </c>
      <c r="J13">
        <f t="shared" si="4"/>
        <v>154.35869441025639</v>
      </c>
      <c r="K13">
        <f t="shared" si="5"/>
        <v>1852.3043329230768</v>
      </c>
    </row>
    <row r="14" spans="1:11">
      <c r="A14">
        <v>13</v>
      </c>
      <c r="B14" s="6">
        <v>9000000</v>
      </c>
      <c r="C14" s="6">
        <v>8870722</v>
      </c>
      <c r="D14">
        <f t="shared" si="0"/>
        <v>3548288.8</v>
      </c>
      <c r="E14">
        <f t="shared" si="1"/>
        <v>5.9138146666666662</v>
      </c>
      <c r="F14">
        <f t="shared" si="2"/>
        <v>18</v>
      </c>
      <c r="G14">
        <f>IFERROR(B14+C14,0)</f>
        <v>17870722</v>
      </c>
      <c r="H14">
        <f>SUM($G$2:G14)</f>
        <v>191421974</v>
      </c>
      <c r="I14">
        <f t="shared" si="3"/>
        <v>147.24767230769231</v>
      </c>
      <c r="J14">
        <f t="shared" si="4"/>
        <v>171.16148697435898</v>
      </c>
      <c r="K14">
        <f t="shared" si="5"/>
        <v>2225.0993306666669</v>
      </c>
    </row>
    <row r="15" spans="1:11">
      <c r="A15">
        <v>14</v>
      </c>
      <c r="B15" s="6">
        <v>8743650</v>
      </c>
      <c r="C15" s="6">
        <v>9256351</v>
      </c>
      <c r="D15">
        <f t="shared" si="0"/>
        <v>3702540.4</v>
      </c>
      <c r="E15">
        <f t="shared" si="1"/>
        <v>6.1709006666666664</v>
      </c>
      <c r="F15">
        <f t="shared" si="2"/>
        <v>17.487300000000001</v>
      </c>
      <c r="G15">
        <f>IFERROR(B15+C15,0)</f>
        <v>18000001</v>
      </c>
      <c r="H15">
        <f>SUM($G$2:G15)</f>
        <v>209421975</v>
      </c>
      <c r="I15">
        <f t="shared" si="3"/>
        <v>161.09382692307693</v>
      </c>
      <c r="J15">
        <f t="shared" si="4"/>
        <v>184.75202758974359</v>
      </c>
      <c r="K15">
        <f t="shared" si="5"/>
        <v>2586.5283862564102</v>
      </c>
    </row>
    <row r="16" spans="1:11">
      <c r="A16">
        <v>15</v>
      </c>
      <c r="B16" s="6">
        <v>8633063</v>
      </c>
      <c r="C16" s="6">
        <v>9366937</v>
      </c>
      <c r="D16">
        <f t="shared" si="0"/>
        <v>3746774.8</v>
      </c>
      <c r="E16">
        <f t="shared" si="1"/>
        <v>6.2446246666666667</v>
      </c>
      <c r="F16">
        <f t="shared" si="2"/>
        <v>17.266126</v>
      </c>
      <c r="G16">
        <f>IFERROR(B16+C16,0)</f>
        <v>18000000</v>
      </c>
      <c r="H16">
        <f>SUM($G$2:G16)</f>
        <v>227421975</v>
      </c>
      <c r="I16">
        <f t="shared" si="3"/>
        <v>174.93998076923077</v>
      </c>
      <c r="J16">
        <f t="shared" si="4"/>
        <v>198.45073143589741</v>
      </c>
      <c r="K16">
        <f t="shared" si="5"/>
        <v>2976.760971538461</v>
      </c>
    </row>
    <row r="17" spans="1:11">
      <c r="A17">
        <v>16</v>
      </c>
      <c r="B17" s="6">
        <v>7166711</v>
      </c>
      <c r="C17" s="6">
        <v>10833289</v>
      </c>
      <c r="D17">
        <f t="shared" si="0"/>
        <v>4333315.5999999996</v>
      </c>
      <c r="E17">
        <f t="shared" si="1"/>
        <v>7.2221926666666665</v>
      </c>
      <c r="F17">
        <f t="shared" si="2"/>
        <v>14.333422000000001</v>
      </c>
      <c r="G17">
        <f>IFERROR(B17+C17,0)</f>
        <v>18000000</v>
      </c>
      <c r="H17">
        <f>SUM($G$2:G17)</f>
        <v>245421975</v>
      </c>
      <c r="I17">
        <f t="shared" si="3"/>
        <v>188.78613461538461</v>
      </c>
      <c r="J17">
        <f t="shared" si="4"/>
        <v>210.3417492820513</v>
      </c>
      <c r="K17">
        <f t="shared" si="5"/>
        <v>3365.4679885128207</v>
      </c>
    </row>
    <row r="18" spans="1:11">
      <c r="A18">
        <v>17</v>
      </c>
      <c r="B18" s="6">
        <v>5748338</v>
      </c>
      <c r="C18" s="6">
        <v>12251662</v>
      </c>
      <c r="D18">
        <f t="shared" si="0"/>
        <v>4900664.8</v>
      </c>
      <c r="E18">
        <f t="shared" si="1"/>
        <v>8.1677746666666664</v>
      </c>
      <c r="F18">
        <f t="shared" si="2"/>
        <v>11.496676000000001</v>
      </c>
      <c r="G18">
        <f>IFERROR(B18+C18,0)</f>
        <v>18000000</v>
      </c>
      <c r="H18">
        <f>SUM($G$2:G18)</f>
        <v>263421975</v>
      </c>
      <c r="I18">
        <f t="shared" si="3"/>
        <v>202.63228846153845</v>
      </c>
      <c r="J18">
        <f t="shared" si="4"/>
        <v>222.29673912820513</v>
      </c>
      <c r="K18">
        <f t="shared" si="5"/>
        <v>3779.0445651794871</v>
      </c>
    </row>
    <row r="19" spans="1:11">
      <c r="A19">
        <v>18</v>
      </c>
      <c r="B19" s="6">
        <v>5024382</v>
      </c>
      <c r="C19" s="6">
        <v>12975618</v>
      </c>
      <c r="D19">
        <f t="shared" si="0"/>
        <v>5190247.2</v>
      </c>
      <c r="E19">
        <f t="shared" si="1"/>
        <v>8.6504120000000011</v>
      </c>
      <c r="F19">
        <f t="shared" si="2"/>
        <v>10.048764</v>
      </c>
      <c r="G19">
        <f>IFERROR(B19+C19,0)</f>
        <v>18000000</v>
      </c>
      <c r="H19">
        <f>SUM($G$2:G19)</f>
        <v>281421975</v>
      </c>
      <c r="I19">
        <f t="shared" si="3"/>
        <v>216.47844230769229</v>
      </c>
      <c r="J19">
        <f t="shared" si="4"/>
        <v>235.17761830769228</v>
      </c>
      <c r="K19">
        <f t="shared" si="5"/>
        <v>4233.197129538461</v>
      </c>
    </row>
    <row r="20" spans="1:11">
      <c r="A20">
        <v>19</v>
      </c>
      <c r="B20" s="6">
        <v>4963408</v>
      </c>
      <c r="C20" s="6">
        <v>13036592</v>
      </c>
      <c r="D20">
        <f t="shared" si="0"/>
        <v>5214636.8</v>
      </c>
      <c r="E20">
        <f t="shared" si="1"/>
        <v>8.691061333333332</v>
      </c>
      <c r="F20">
        <f t="shared" si="2"/>
        <v>9.9268160000000005</v>
      </c>
      <c r="G20">
        <f>IFERROR(B20+C20,0)</f>
        <v>18000000</v>
      </c>
      <c r="H20">
        <f>SUM($G$2:G20)</f>
        <v>299421975</v>
      </c>
      <c r="I20">
        <f t="shared" si="3"/>
        <v>230.32459615384616</v>
      </c>
      <c r="J20">
        <f t="shared" si="4"/>
        <v>248.94247348717948</v>
      </c>
      <c r="K20">
        <f t="shared" si="5"/>
        <v>4729.9069962564099</v>
      </c>
    </row>
    <row r="21" spans="1:11">
      <c r="A21">
        <v>20</v>
      </c>
      <c r="B21" s="6">
        <v>5265306</v>
      </c>
      <c r="C21" s="6">
        <v>12734694</v>
      </c>
      <c r="D21">
        <f t="shared" si="0"/>
        <v>5093877.5999999996</v>
      </c>
      <c r="E21">
        <f t="shared" si="1"/>
        <v>8.4897959999999983</v>
      </c>
      <c r="F21">
        <f t="shared" si="2"/>
        <v>10.530612</v>
      </c>
      <c r="G21">
        <f>IFERROR(B21+C21,0)</f>
        <v>18000000</v>
      </c>
      <c r="H21">
        <f>SUM($G$2:G21)</f>
        <v>317421975</v>
      </c>
      <c r="I21">
        <f t="shared" si="3"/>
        <v>244.17075</v>
      </c>
      <c r="J21">
        <f t="shared" si="4"/>
        <v>263.19115799999997</v>
      </c>
      <c r="K21">
        <f t="shared" si="5"/>
        <v>5263.8231599999999</v>
      </c>
    </row>
    <row r="22" spans="1:11">
      <c r="A22">
        <v>21</v>
      </c>
      <c r="B22" s="6">
        <v>5412767</v>
      </c>
      <c r="C22" s="6">
        <v>12587233</v>
      </c>
      <c r="D22">
        <f t="shared" si="0"/>
        <v>5034893.2</v>
      </c>
      <c r="E22">
        <f t="shared" si="1"/>
        <v>8.3914886666666675</v>
      </c>
      <c r="F22">
        <f t="shared" si="2"/>
        <v>10.825533999999999</v>
      </c>
      <c r="G22">
        <f t="shared" ref="G22:G30" si="6">IFERROR(B22+C22,0)</f>
        <v>18000000</v>
      </c>
      <c r="H22">
        <f>SUM($G$2:G22)</f>
        <v>335421975</v>
      </c>
      <c r="I22">
        <f t="shared" si="3"/>
        <v>258.01690384615387</v>
      </c>
      <c r="J22">
        <f t="shared" si="4"/>
        <v>277.23392651282052</v>
      </c>
      <c r="K22">
        <f t="shared" si="5"/>
        <v>5821.9124567692306</v>
      </c>
    </row>
    <row r="23" spans="1:11">
      <c r="A23">
        <v>22</v>
      </c>
      <c r="B23" s="6">
        <v>5333341</v>
      </c>
      <c r="C23" s="6">
        <v>12666659</v>
      </c>
      <c r="D23">
        <f t="shared" si="0"/>
        <v>5066663.5999999996</v>
      </c>
      <c r="E23">
        <f t="shared" si="1"/>
        <v>8.4444393333333334</v>
      </c>
      <c r="F23">
        <f t="shared" si="2"/>
        <v>10.666682</v>
      </c>
      <c r="G23">
        <f t="shared" si="6"/>
        <v>18000000</v>
      </c>
      <c r="H23">
        <f>SUM($G$2:G23)</f>
        <v>353421975</v>
      </c>
      <c r="I23">
        <f t="shared" si="3"/>
        <v>271.86305769230768</v>
      </c>
      <c r="J23">
        <f t="shared" si="4"/>
        <v>290.97417902564098</v>
      </c>
      <c r="K23">
        <f t="shared" si="5"/>
        <v>6401.4319385641011</v>
      </c>
    </row>
    <row r="24" spans="1:11">
      <c r="A24">
        <v>23</v>
      </c>
      <c r="B24" s="6">
        <v>5203063</v>
      </c>
      <c r="C24" s="6">
        <v>12796937</v>
      </c>
      <c r="D24">
        <f t="shared" si="0"/>
        <v>5118774.8</v>
      </c>
      <c r="E24">
        <f t="shared" si="1"/>
        <v>8.5312913333333338</v>
      </c>
      <c r="F24">
        <f t="shared" si="2"/>
        <v>10.406126</v>
      </c>
      <c r="G24">
        <f t="shared" si="6"/>
        <v>18000000</v>
      </c>
      <c r="H24">
        <f>SUM($G$2:G24)</f>
        <v>371421975</v>
      </c>
      <c r="I24">
        <f t="shared" si="3"/>
        <v>285.70921153846155</v>
      </c>
      <c r="J24">
        <f t="shared" si="4"/>
        <v>304.64662887179486</v>
      </c>
      <c r="K24">
        <f t="shared" si="5"/>
        <v>7006.8724640512819</v>
      </c>
    </row>
    <row r="25" spans="1:11">
      <c r="A25">
        <v>24</v>
      </c>
      <c r="B25" s="6">
        <v>5210278</v>
      </c>
      <c r="C25" s="6">
        <v>12789722</v>
      </c>
      <c r="D25">
        <f t="shared" si="0"/>
        <v>5115888.8</v>
      </c>
      <c r="E25">
        <f t="shared" si="1"/>
        <v>8.5264813333333329</v>
      </c>
      <c r="F25">
        <f t="shared" si="2"/>
        <v>10.420555999999999</v>
      </c>
      <c r="G25">
        <f t="shared" si="6"/>
        <v>18000000</v>
      </c>
      <c r="H25">
        <f>SUM($G$2:G25)</f>
        <v>389421975</v>
      </c>
      <c r="I25">
        <f t="shared" si="3"/>
        <v>299.55536538461541</v>
      </c>
      <c r="J25">
        <f t="shared" si="4"/>
        <v>318.50240271794871</v>
      </c>
      <c r="K25">
        <f t="shared" si="5"/>
        <v>7644.0576652307691</v>
      </c>
    </row>
    <row r="26" spans="1:11">
      <c r="A26">
        <v>25</v>
      </c>
      <c r="B26" s="6">
        <v>5048912</v>
      </c>
      <c r="C26" s="6">
        <v>12951088</v>
      </c>
      <c r="D26">
        <f t="shared" si="0"/>
        <v>5180435.2</v>
      </c>
      <c r="E26">
        <f t="shared" si="1"/>
        <v>8.6340586666666663</v>
      </c>
      <c r="F26">
        <f t="shared" si="2"/>
        <v>10.097823999999999</v>
      </c>
      <c r="G26">
        <f t="shared" si="6"/>
        <v>18000000</v>
      </c>
      <c r="H26">
        <f>SUM($G$2:G26)</f>
        <v>407421975</v>
      </c>
      <c r="I26">
        <f t="shared" si="3"/>
        <v>313.40151923076922</v>
      </c>
      <c r="J26">
        <f t="shared" si="4"/>
        <v>332.13340189743587</v>
      </c>
      <c r="K26">
        <f t="shared" si="5"/>
        <v>8303.3350474358976</v>
      </c>
    </row>
    <row r="27" spans="1:11">
      <c r="A27">
        <v>26</v>
      </c>
      <c r="B27" s="6">
        <v>4986068</v>
      </c>
      <c r="C27" s="6">
        <v>13013932</v>
      </c>
      <c r="D27">
        <f t="shared" si="0"/>
        <v>5205572.8</v>
      </c>
      <c r="E27">
        <f t="shared" si="1"/>
        <v>8.6759546666666658</v>
      </c>
      <c r="F27">
        <f t="shared" si="2"/>
        <v>9.9721360000000008</v>
      </c>
      <c r="G27">
        <f t="shared" si="6"/>
        <v>18000000</v>
      </c>
      <c r="H27">
        <f>SUM($G$2:G27)</f>
        <v>425421975</v>
      </c>
      <c r="I27">
        <f t="shared" si="3"/>
        <v>327.24767307692309</v>
      </c>
      <c r="J27">
        <f t="shared" si="4"/>
        <v>345.89576374358973</v>
      </c>
      <c r="K27">
        <f t="shared" si="5"/>
        <v>8993.2898573333332</v>
      </c>
    </row>
    <row r="28" spans="1:11">
      <c r="A28">
        <v>27</v>
      </c>
      <c r="B28" s="6">
        <v>4992208</v>
      </c>
      <c r="C28" s="6">
        <v>13007792</v>
      </c>
      <c r="D28">
        <f t="shared" si="0"/>
        <v>5203116.8</v>
      </c>
      <c r="E28">
        <f t="shared" si="1"/>
        <v>8.6718613333333323</v>
      </c>
      <c r="F28">
        <f t="shared" si="2"/>
        <v>9.9844159999999995</v>
      </c>
      <c r="G28">
        <f t="shared" si="6"/>
        <v>18000000</v>
      </c>
      <c r="H28">
        <f>SUM($G$2:G28)</f>
        <v>443421975</v>
      </c>
      <c r="I28">
        <f t="shared" si="3"/>
        <v>341.0938269230769</v>
      </c>
      <c r="J28">
        <f t="shared" si="4"/>
        <v>359.75010425641022</v>
      </c>
      <c r="K28">
        <f t="shared" si="5"/>
        <v>9713.2528149230766</v>
      </c>
    </row>
    <row r="29" spans="1:11">
      <c r="A29">
        <v>28</v>
      </c>
      <c r="B29" s="6">
        <v>4881011</v>
      </c>
      <c r="C29" s="6">
        <v>13118989</v>
      </c>
      <c r="D29">
        <f t="shared" si="0"/>
        <v>5247595.5999999996</v>
      </c>
      <c r="E29">
        <f t="shared" si="1"/>
        <v>8.7459926666666661</v>
      </c>
      <c r="F29">
        <f t="shared" si="2"/>
        <v>9.762022</v>
      </c>
      <c r="G29">
        <f t="shared" si="6"/>
        <v>18000000</v>
      </c>
      <c r="H29">
        <f>SUM($G$2:G29)</f>
        <v>461421975</v>
      </c>
      <c r="I29">
        <f t="shared" si="3"/>
        <v>354.93998076923077</v>
      </c>
      <c r="J29">
        <f t="shared" si="4"/>
        <v>373.44799543589744</v>
      </c>
      <c r="K29">
        <f t="shared" si="5"/>
        <v>10456.543872205128</v>
      </c>
    </row>
    <row r="30" spans="1:11">
      <c r="A30">
        <v>29</v>
      </c>
      <c r="B30" s="6">
        <v>4746425</v>
      </c>
      <c r="C30" s="6">
        <v>13253575</v>
      </c>
      <c r="D30">
        <f t="shared" si="0"/>
        <v>5301430</v>
      </c>
      <c r="E30">
        <f t="shared" si="1"/>
        <v>8.8357166666666664</v>
      </c>
      <c r="F30">
        <f t="shared" si="2"/>
        <v>9.4928500000000007</v>
      </c>
      <c r="G30">
        <f t="shared" si="6"/>
        <v>18000000</v>
      </c>
      <c r="H30">
        <f>SUM($G$2:G30)</f>
        <v>479421975</v>
      </c>
      <c r="I30">
        <f t="shared" si="3"/>
        <v>368.78613461538458</v>
      </c>
      <c r="J30">
        <f t="shared" si="4"/>
        <v>387.11470128205121</v>
      </c>
      <c r="K30">
        <f t="shared" si="5"/>
        <v>11226.326337179486</v>
      </c>
    </row>
    <row r="31" spans="1:11">
      <c r="A31">
        <v>30</v>
      </c>
      <c r="B31" s="6">
        <v>4880619</v>
      </c>
      <c r="C31" s="6">
        <v>13119381</v>
      </c>
      <c r="D31">
        <f t="shared" si="0"/>
        <v>5247752.4000000004</v>
      </c>
      <c r="E31">
        <f t="shared" si="1"/>
        <v>8.7462540000000004</v>
      </c>
      <c r="F31">
        <f t="shared" ref="F31:F36" si="7">(B31*2)/1000000</f>
        <v>9.7612380000000005</v>
      </c>
      <c r="G31">
        <f t="shared" ref="G31:G36" si="8">IFERROR(B31+C31,0)</f>
        <v>18000000</v>
      </c>
      <c r="H31">
        <f>SUM($G$2:G31)</f>
        <v>497421975</v>
      </c>
      <c r="I31">
        <f t="shared" si="3"/>
        <v>382.63228846153845</v>
      </c>
      <c r="J31">
        <f t="shared" ref="J31:J36" si="9">I31+F31+E31</f>
        <v>401.13978046153846</v>
      </c>
      <c r="K31">
        <f t="shared" ref="K31:K36" si="10">A31*J31</f>
        <v>12034.193413846155</v>
      </c>
    </row>
    <row r="32" spans="1:11">
      <c r="A32">
        <v>31</v>
      </c>
      <c r="B32" s="6">
        <v>4534016</v>
      </c>
      <c r="C32" s="6">
        <v>13465984</v>
      </c>
      <c r="D32">
        <f t="shared" si="0"/>
        <v>5386393.5999999996</v>
      </c>
      <c r="E32">
        <f t="shared" si="1"/>
        <v>8.9773226666666659</v>
      </c>
      <c r="F32">
        <f t="shared" si="7"/>
        <v>9.0680320000000005</v>
      </c>
      <c r="G32">
        <f t="shared" si="8"/>
        <v>18000000</v>
      </c>
      <c r="H32">
        <f>SUM($G$2:G32)</f>
        <v>515421975</v>
      </c>
      <c r="I32">
        <f t="shared" si="3"/>
        <v>396.47844230769232</v>
      </c>
      <c r="J32">
        <f t="shared" si="9"/>
        <v>414.52379697435902</v>
      </c>
      <c r="K32">
        <f t="shared" si="10"/>
        <v>12850.237706205129</v>
      </c>
    </row>
    <row r="33" spans="1:11">
      <c r="A33">
        <v>32</v>
      </c>
      <c r="B33" s="6">
        <v>4528240</v>
      </c>
      <c r="C33" s="6">
        <v>13471760</v>
      </c>
      <c r="D33">
        <f t="shared" si="0"/>
        <v>5388704</v>
      </c>
      <c r="E33">
        <f t="shared" si="1"/>
        <v>8.9811733333333343</v>
      </c>
      <c r="F33">
        <f t="shared" si="7"/>
        <v>9.0564800000000005</v>
      </c>
      <c r="G33">
        <f t="shared" si="8"/>
        <v>18000000</v>
      </c>
      <c r="H33">
        <f>SUM($G$2:G33)</f>
        <v>533421975</v>
      </c>
      <c r="I33">
        <f t="shared" si="3"/>
        <v>410.32459615384613</v>
      </c>
      <c r="J33">
        <f t="shared" si="9"/>
        <v>428.3622494871795</v>
      </c>
      <c r="K33">
        <f t="shared" si="10"/>
        <v>13707.591983589744</v>
      </c>
    </row>
    <row r="34" spans="1:11">
      <c r="A34">
        <v>33</v>
      </c>
      <c r="B34" s="6">
        <v>5735949</v>
      </c>
      <c r="C34" s="6">
        <v>12264051</v>
      </c>
      <c r="D34">
        <f t="shared" si="0"/>
        <v>4905620.4000000004</v>
      </c>
      <c r="E34">
        <f t="shared" si="1"/>
        <v>8.1760340000000014</v>
      </c>
      <c r="F34">
        <f t="shared" si="7"/>
        <v>11.471897999999999</v>
      </c>
      <c r="G34">
        <f t="shared" si="8"/>
        <v>18000000</v>
      </c>
      <c r="H34">
        <f>SUM($G$2:G34)</f>
        <v>551421975</v>
      </c>
      <c r="I34">
        <f t="shared" si="3"/>
        <v>424.17075</v>
      </c>
      <c r="J34">
        <f t="shared" si="9"/>
        <v>443.81868200000002</v>
      </c>
      <c r="K34">
        <f t="shared" si="10"/>
        <v>14646.016506</v>
      </c>
    </row>
    <row r="35" spans="1:11">
      <c r="A35">
        <v>34</v>
      </c>
      <c r="B35" s="6">
        <v>5992766</v>
      </c>
      <c r="C35" s="6">
        <v>12007234</v>
      </c>
      <c r="D35">
        <f t="shared" si="0"/>
        <v>4802893.5999999996</v>
      </c>
      <c r="E35">
        <f t="shared" si="1"/>
        <v>8.0048226666666658</v>
      </c>
      <c r="F35">
        <f t="shared" si="7"/>
        <v>11.985531999999999</v>
      </c>
      <c r="G35">
        <f t="shared" si="8"/>
        <v>18000000</v>
      </c>
      <c r="H35">
        <f>SUM($G$2:G35)</f>
        <v>569421975</v>
      </c>
      <c r="I35">
        <f t="shared" si="3"/>
        <v>438.01690384615381</v>
      </c>
      <c r="J35">
        <f t="shared" si="9"/>
        <v>458.00725851282044</v>
      </c>
      <c r="K35">
        <f t="shared" si="10"/>
        <v>15572.246789435894</v>
      </c>
    </row>
    <row r="36" spans="1:11">
      <c r="A36">
        <v>35</v>
      </c>
      <c r="B36" s="6">
        <v>1620038</v>
      </c>
      <c r="C36" s="6">
        <v>1683748</v>
      </c>
      <c r="D36">
        <f t="shared" si="0"/>
        <v>673499.2</v>
      </c>
      <c r="E36">
        <f t="shared" si="1"/>
        <v>1.1224986666666665</v>
      </c>
      <c r="F36">
        <f t="shared" si="7"/>
        <v>3.2400760000000002</v>
      </c>
      <c r="G36">
        <f t="shared" si="8"/>
        <v>3303786</v>
      </c>
      <c r="H36">
        <f>SUM($G$2:G36)</f>
        <v>572725761</v>
      </c>
      <c r="I36">
        <f t="shared" si="3"/>
        <v>440.55827769230774</v>
      </c>
      <c r="J36">
        <f t="shared" si="9"/>
        <v>444.9208523589744</v>
      </c>
      <c r="K36">
        <f t="shared" si="10"/>
        <v>15572.229832564104</v>
      </c>
    </row>
    <row r="37" spans="1:11">
      <c r="H37" s="14" t="s">
        <v>37</v>
      </c>
      <c r="I37" t="s">
        <v>2</v>
      </c>
      <c r="J37" s="15">
        <f>MAX(K2:K33)</f>
        <v>13707.591983589744</v>
      </c>
    </row>
    <row r="38" spans="1:11">
      <c r="I38" t="s">
        <v>3</v>
      </c>
      <c r="J38" s="15">
        <f>MAX(J2:J33)</f>
        <v>428.3622494871795</v>
      </c>
    </row>
    <row r="42" spans="1:11">
      <c r="A42" s="6"/>
      <c r="B42" s="7"/>
      <c r="C42" s="7"/>
      <c r="D42" s="6"/>
      <c r="E42" s="6"/>
      <c r="F42" s="7"/>
    </row>
    <row r="43" spans="1:11" ht="15.75" thickBot="1">
      <c r="A43" s="6"/>
      <c r="B43" s="7"/>
      <c r="C43" s="7"/>
      <c r="D43" s="6"/>
      <c r="E43" s="6"/>
      <c r="F43" s="7"/>
    </row>
    <row r="44" spans="1:11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1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1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1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1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>
        <v>1</v>
      </c>
      <c r="B58" s="6">
        <v>9000000</v>
      </c>
      <c r="C58" s="6">
        <v>5308339</v>
      </c>
      <c r="D58" s="6">
        <v>0.59</v>
      </c>
      <c r="E58" s="6">
        <v>2.3717999999999999</v>
      </c>
      <c r="F58" s="6">
        <v>767718925</v>
      </c>
      <c r="G58" s="6">
        <v>697926295</v>
      </c>
    </row>
    <row r="59" spans="1:9">
      <c r="A59" s="6">
        <v>2</v>
      </c>
      <c r="B59" s="6">
        <v>9000000</v>
      </c>
      <c r="C59" s="6">
        <v>5370617</v>
      </c>
      <c r="D59" s="6">
        <v>0.6</v>
      </c>
      <c r="E59" s="6">
        <v>1.7374000000000001</v>
      </c>
      <c r="F59" s="6">
        <v>503257498</v>
      </c>
      <c r="G59" s="6">
        <v>415915287</v>
      </c>
    </row>
    <row r="60" spans="1:9">
      <c r="A60" s="6">
        <v>3</v>
      </c>
      <c r="B60" s="6">
        <v>9000000</v>
      </c>
      <c r="C60" s="6">
        <v>5652173</v>
      </c>
      <c r="D60" s="6">
        <v>0.63</v>
      </c>
      <c r="E60" s="6">
        <v>1.9752000000000001</v>
      </c>
      <c r="F60" s="6">
        <v>601371753</v>
      </c>
      <c r="G60" s="6">
        <v>451819499</v>
      </c>
    </row>
    <row r="61" spans="1:9">
      <c r="A61" s="6">
        <v>4</v>
      </c>
      <c r="B61" s="6">
        <v>9000000</v>
      </c>
      <c r="C61" s="6">
        <v>6248568</v>
      </c>
      <c r="D61" s="6">
        <v>0.69</v>
      </c>
      <c r="E61" s="6">
        <v>2.4270999999999998</v>
      </c>
      <c r="F61" s="6">
        <v>787644657</v>
      </c>
      <c r="G61" s="6">
        <v>537971899</v>
      </c>
    </row>
    <row r="62" spans="1:9">
      <c r="A62" s="6">
        <v>5</v>
      </c>
      <c r="B62" s="6">
        <v>9000000</v>
      </c>
      <c r="C62" s="6">
        <v>7081806</v>
      </c>
      <c r="D62" s="6">
        <v>0.79</v>
      </c>
      <c r="E62" s="6">
        <v>2.5419999999999998</v>
      </c>
      <c r="F62" s="6">
        <v>832789482</v>
      </c>
      <c r="G62" s="6">
        <v>517096747</v>
      </c>
    </row>
    <row r="63" spans="1:9">
      <c r="A63" s="6">
        <v>6</v>
      </c>
      <c r="B63" s="6">
        <v>9000000</v>
      </c>
      <c r="C63" s="6">
        <v>7924344</v>
      </c>
      <c r="D63" s="6">
        <v>0.88</v>
      </c>
      <c r="E63" s="6">
        <v>2.4693000000000001</v>
      </c>
      <c r="F63" s="6">
        <v>799752487</v>
      </c>
      <c r="G63" s="6">
        <v>451439429</v>
      </c>
    </row>
    <row r="64" spans="1:9">
      <c r="A64" s="6">
        <v>7</v>
      </c>
      <c r="B64" s="6">
        <v>9000000</v>
      </c>
      <c r="C64" s="6">
        <v>5754586</v>
      </c>
      <c r="D64" s="6">
        <v>0.64</v>
      </c>
      <c r="E64" s="6">
        <v>2.4941</v>
      </c>
      <c r="F64" s="6">
        <v>817199032</v>
      </c>
      <c r="G64" s="6">
        <v>419352317</v>
      </c>
    </row>
    <row r="65" spans="1:7">
      <c r="A65" s="6">
        <v>8</v>
      </c>
      <c r="B65" s="6">
        <v>9000000</v>
      </c>
      <c r="C65" s="6">
        <v>4577013</v>
      </c>
      <c r="D65" s="6">
        <v>0.51</v>
      </c>
      <c r="E65" s="6">
        <v>2.3666</v>
      </c>
      <c r="F65" s="6">
        <v>767933593</v>
      </c>
      <c r="G65" s="6">
        <v>358246689</v>
      </c>
    </row>
    <row r="66" spans="1:7">
      <c r="A66" s="6">
        <v>9</v>
      </c>
      <c r="B66" s="6">
        <v>9000000</v>
      </c>
      <c r="C66" s="6">
        <v>4539844</v>
      </c>
      <c r="D66" s="6">
        <v>0.5</v>
      </c>
      <c r="E66" s="6">
        <v>2.3628</v>
      </c>
      <c r="F66" s="6">
        <v>766471020</v>
      </c>
      <c r="G66" s="6">
        <v>325058534</v>
      </c>
    </row>
    <row r="67" spans="1:7">
      <c r="A67" s="6">
        <v>10</v>
      </c>
      <c r="B67" s="6">
        <v>9000000</v>
      </c>
      <c r="C67" s="6">
        <v>4459239</v>
      </c>
      <c r="D67" s="6">
        <v>0.5</v>
      </c>
      <c r="E67" s="6">
        <v>2.3875000000000002</v>
      </c>
      <c r="F67" s="6">
        <v>777048809</v>
      </c>
      <c r="G67" s="6">
        <v>299585954</v>
      </c>
    </row>
    <row r="68" spans="1:7">
      <c r="A68" s="6">
        <v>11</v>
      </c>
      <c r="B68" s="6">
        <v>9000000</v>
      </c>
      <c r="C68" s="6">
        <v>4348126</v>
      </c>
      <c r="D68" s="6">
        <v>0.48</v>
      </c>
      <c r="E68" s="6">
        <v>2.4769000000000001</v>
      </c>
      <c r="F68" s="6">
        <v>814615073</v>
      </c>
      <c r="G68" s="6">
        <v>285517614</v>
      </c>
    </row>
    <row r="69" spans="1:7">
      <c r="A69" s="6">
        <v>12</v>
      </c>
      <c r="B69" s="6">
        <v>9000000</v>
      </c>
      <c r="C69" s="6">
        <v>4286597</v>
      </c>
      <c r="D69" s="6">
        <v>0.48</v>
      </c>
      <c r="E69" s="6">
        <v>2.5703999999999998</v>
      </c>
      <c r="F69" s="6">
        <v>853774032</v>
      </c>
      <c r="G69" s="6">
        <v>272038718</v>
      </c>
    </row>
    <row r="70" spans="1:7">
      <c r="A70" s="6">
        <v>13</v>
      </c>
      <c r="B70" s="6">
        <v>9000000</v>
      </c>
      <c r="C70" s="6">
        <v>8870722</v>
      </c>
      <c r="D70" s="6">
        <v>0.99</v>
      </c>
      <c r="E70" s="6">
        <v>2.9554999999999998</v>
      </c>
      <c r="F70" s="6">
        <v>999140885</v>
      </c>
      <c r="G70" s="6">
        <v>289415525</v>
      </c>
    </row>
    <row r="71" spans="1:7">
      <c r="A71" s="6">
        <v>14</v>
      </c>
      <c r="B71" s="6">
        <v>8743650</v>
      </c>
      <c r="C71" s="6">
        <v>9256351</v>
      </c>
      <c r="D71" s="6">
        <v>1.06</v>
      </c>
      <c r="E71" s="6">
        <v>1.8797999999999999</v>
      </c>
      <c r="F71" s="6">
        <v>533315300</v>
      </c>
      <c r="G71" s="6">
        <v>140438587</v>
      </c>
    </row>
    <row r="72" spans="1:7">
      <c r="A72" s="6">
        <v>15</v>
      </c>
      <c r="B72" s="6">
        <v>8633063</v>
      </c>
      <c r="C72" s="6">
        <v>9366937</v>
      </c>
      <c r="D72" s="6">
        <v>1.0900000000000001</v>
      </c>
      <c r="E72" s="6">
        <v>0.98919999999999997</v>
      </c>
      <c r="F72" s="6">
        <v>169982977</v>
      </c>
      <c r="G72" s="6">
        <v>40692573</v>
      </c>
    </row>
    <row r="73" spans="1:7">
      <c r="A73" s="6">
        <v>16</v>
      </c>
      <c r="B73" s="6">
        <v>7166711</v>
      </c>
      <c r="C73" s="6">
        <v>10833289</v>
      </c>
      <c r="D73" s="6">
        <v>1.51</v>
      </c>
      <c r="E73" s="6">
        <v>1.1279999999999999</v>
      </c>
      <c r="F73" s="6">
        <v>177120412</v>
      </c>
      <c r="G73" s="6">
        <v>38546562</v>
      </c>
    </row>
    <row r="74" spans="1:7">
      <c r="A74" s="6">
        <v>17</v>
      </c>
      <c r="B74" s="6">
        <v>5748338</v>
      </c>
      <c r="C74" s="6">
        <v>12251662</v>
      </c>
      <c r="D74" s="6">
        <v>2.13</v>
      </c>
      <c r="E74" s="6">
        <v>1.1117999999999999</v>
      </c>
      <c r="F74" s="6">
        <v>126068381</v>
      </c>
      <c r="G74" s="6">
        <v>24941957</v>
      </c>
    </row>
    <row r="75" spans="1:7">
      <c r="A75" s="6">
        <v>18</v>
      </c>
      <c r="B75" s="6">
        <v>5024382</v>
      </c>
      <c r="C75" s="6">
        <v>12975618</v>
      </c>
      <c r="D75" s="6">
        <v>2.58</v>
      </c>
      <c r="E75" s="6">
        <v>1.0390999999999999</v>
      </c>
      <c r="F75" s="6">
        <v>85862981</v>
      </c>
      <c r="G75" s="6">
        <v>15443212</v>
      </c>
    </row>
    <row r="76" spans="1:7">
      <c r="A76" s="6">
        <v>19</v>
      </c>
      <c r="B76" s="6">
        <v>4963408</v>
      </c>
      <c r="C76" s="6">
        <v>13036592</v>
      </c>
      <c r="D76" s="6">
        <v>2.63</v>
      </c>
      <c r="E76" s="6">
        <v>1.0624</v>
      </c>
      <c r="F76" s="6">
        <v>89455508</v>
      </c>
      <c r="G76" s="6">
        <v>14626690</v>
      </c>
    </row>
    <row r="77" spans="1:7">
      <c r="A77" s="6">
        <v>20</v>
      </c>
      <c r="B77" s="6">
        <v>5265306</v>
      </c>
      <c r="C77" s="6">
        <v>12734694</v>
      </c>
      <c r="D77" s="6">
        <v>2.42</v>
      </c>
      <c r="E77" s="6">
        <v>1.133</v>
      </c>
      <c r="F77" s="6">
        <v>115685677</v>
      </c>
      <c r="G77" s="6">
        <v>17195939</v>
      </c>
    </row>
    <row r="78" spans="1:7">
      <c r="A78" s="6">
        <v>21</v>
      </c>
      <c r="B78" s="6">
        <v>5412767</v>
      </c>
      <c r="C78" s="6">
        <v>12587233</v>
      </c>
      <c r="D78" s="6">
        <v>2.33</v>
      </c>
      <c r="E78" s="6">
        <v>1.1662999999999999</v>
      </c>
      <c r="F78" s="6">
        <v>128928037</v>
      </c>
      <c r="G78" s="6">
        <v>17422119</v>
      </c>
    </row>
    <row r="79" spans="1:7">
      <c r="A79" s="6">
        <v>22</v>
      </c>
      <c r="B79" s="6">
        <v>5333341</v>
      </c>
      <c r="C79" s="6">
        <v>12666659</v>
      </c>
      <c r="D79" s="6">
        <v>2.37</v>
      </c>
      <c r="E79" s="6">
        <v>1.1631</v>
      </c>
      <c r="F79" s="6">
        <v>125383744</v>
      </c>
      <c r="G79" s="6">
        <v>15402888</v>
      </c>
    </row>
    <row r="80" spans="1:7">
      <c r="A80" s="6">
        <v>23</v>
      </c>
      <c r="B80" s="6">
        <v>5203063</v>
      </c>
      <c r="C80" s="6">
        <v>12796937</v>
      </c>
      <c r="D80" s="6">
        <v>2.46</v>
      </c>
      <c r="E80" s="6">
        <v>1.1627000000000001</v>
      </c>
      <c r="F80" s="6">
        <v>120762614</v>
      </c>
      <c r="G80" s="6">
        <v>13486546</v>
      </c>
    </row>
    <row r="81" spans="1:7">
      <c r="A81" s="6">
        <v>24</v>
      </c>
      <c r="B81" s="6">
        <v>5210278</v>
      </c>
      <c r="C81" s="6">
        <v>12789722</v>
      </c>
      <c r="D81" s="6">
        <v>2.4500000000000002</v>
      </c>
      <c r="E81" s="6">
        <v>1.1779999999999999</v>
      </c>
      <c r="F81" s="6">
        <v>124719513</v>
      </c>
      <c r="G81" s="6">
        <v>12662223</v>
      </c>
    </row>
    <row r="82" spans="1:7">
      <c r="A82" s="6">
        <v>25</v>
      </c>
      <c r="B82" s="6">
        <v>5048912</v>
      </c>
      <c r="C82" s="6">
        <v>12951088</v>
      </c>
      <c r="D82" s="6">
        <v>2.57</v>
      </c>
      <c r="E82" s="6">
        <v>1.1501999999999999</v>
      </c>
      <c r="F82" s="6">
        <v>112528325</v>
      </c>
      <c r="G82" s="6">
        <v>10385914</v>
      </c>
    </row>
    <row r="83" spans="1:7">
      <c r="A83" s="6">
        <v>26</v>
      </c>
      <c r="B83" s="6">
        <v>4986068</v>
      </c>
      <c r="C83" s="6">
        <v>13013932</v>
      </c>
      <c r="D83" s="6">
        <v>2.61</v>
      </c>
      <c r="E83" s="6">
        <v>1.159</v>
      </c>
      <c r="F83" s="6">
        <v>112431719</v>
      </c>
      <c r="G83" s="6">
        <v>9433634</v>
      </c>
    </row>
    <row r="84" spans="1:7">
      <c r="A84" s="6">
        <v>27</v>
      </c>
      <c r="B84" s="6">
        <v>4992208</v>
      </c>
      <c r="C84" s="6">
        <v>13007792</v>
      </c>
      <c r="D84" s="6">
        <v>2.61</v>
      </c>
      <c r="E84" s="6">
        <v>1.2078</v>
      </c>
      <c r="F84" s="6">
        <v>123898720</v>
      </c>
      <c r="G84" s="6">
        <v>9450707</v>
      </c>
    </row>
    <row r="85" spans="1:7">
      <c r="A85" s="6">
        <v>28</v>
      </c>
      <c r="B85" s="6">
        <v>4881011</v>
      </c>
      <c r="C85" s="6">
        <v>13118989</v>
      </c>
      <c r="D85" s="6">
        <v>2.69</v>
      </c>
      <c r="E85" s="6">
        <v>1.2854000000000001</v>
      </c>
      <c r="F85" s="6">
        <v>137362379</v>
      </c>
      <c r="G85" s="6">
        <v>9525167</v>
      </c>
    </row>
    <row r="86" spans="1:7">
      <c r="A86" s="6">
        <v>29</v>
      </c>
      <c r="B86" s="6">
        <v>4746425</v>
      </c>
      <c r="C86" s="6">
        <v>13253575</v>
      </c>
      <c r="D86" s="6">
        <v>2.79</v>
      </c>
      <c r="E86" s="6">
        <v>1.3580000000000001</v>
      </c>
      <c r="F86" s="6">
        <v>147882600</v>
      </c>
      <c r="G86" s="6">
        <v>9322432</v>
      </c>
    </row>
    <row r="87" spans="1:7">
      <c r="A87" s="6">
        <v>30</v>
      </c>
      <c r="B87" s="6">
        <v>4880619</v>
      </c>
      <c r="C87" s="6">
        <v>13119381</v>
      </c>
      <c r="D87" s="6">
        <v>2.69</v>
      </c>
      <c r="E87" s="6">
        <v>1.3697999999999999</v>
      </c>
      <c r="F87" s="6">
        <v>156406572</v>
      </c>
      <c r="G87" s="6">
        <v>8963434</v>
      </c>
    </row>
    <row r="88" spans="1:7">
      <c r="A88" s="6">
        <v>31</v>
      </c>
      <c r="B88" s="6">
        <v>4534016</v>
      </c>
      <c r="C88" s="6">
        <v>13465984</v>
      </c>
      <c r="D88" s="6">
        <v>2.97</v>
      </c>
      <c r="E88" s="6">
        <v>1.5576000000000001</v>
      </c>
      <c r="F88" s="6">
        <v>180522717</v>
      </c>
      <c r="G88" s="6">
        <v>9404996</v>
      </c>
    </row>
    <row r="89" spans="1:7">
      <c r="A89" s="6">
        <v>32</v>
      </c>
      <c r="B89" s="6">
        <v>4528240</v>
      </c>
      <c r="C89" s="6">
        <v>13471760</v>
      </c>
      <c r="D89" s="6">
        <v>2.98</v>
      </c>
      <c r="E89" s="6">
        <v>1.7930999999999999</v>
      </c>
      <c r="F89" s="6">
        <v>229560420</v>
      </c>
      <c r="G89" s="6">
        <v>10872542</v>
      </c>
    </row>
    <row r="90" spans="1:7">
      <c r="A90" s="6">
        <v>33</v>
      </c>
      <c r="B90" s="6">
        <v>5735949</v>
      </c>
      <c r="C90" s="6">
        <v>12264051</v>
      </c>
      <c r="D90" s="6">
        <v>2.14</v>
      </c>
      <c r="E90" s="6">
        <v>1.7221</v>
      </c>
      <c r="F90" s="6">
        <v>287685515</v>
      </c>
      <c r="G90" s="6">
        <v>12386807</v>
      </c>
    </row>
    <row r="91" spans="1:7">
      <c r="A91" s="6">
        <v>34</v>
      </c>
      <c r="B91" s="6">
        <v>5992766</v>
      </c>
      <c r="C91" s="6">
        <v>12007234</v>
      </c>
      <c r="D91" s="6">
        <v>2</v>
      </c>
      <c r="E91" s="6">
        <v>1.7747999999999999</v>
      </c>
      <c r="F91" s="6">
        <v>317817933</v>
      </c>
      <c r="G91" s="6">
        <v>12440193</v>
      </c>
    </row>
    <row r="92" spans="1:7">
      <c r="A92" s="6">
        <v>35</v>
      </c>
      <c r="B92" s="6">
        <v>1620038</v>
      </c>
      <c r="C92" s="6">
        <v>1683748</v>
      </c>
      <c r="D92" s="6">
        <v>1.04</v>
      </c>
      <c r="E92" s="6">
        <v>2.8065000000000002</v>
      </c>
      <c r="F92" s="6">
        <v>168394129</v>
      </c>
      <c r="G92" s="6">
        <v>6477065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90"/>
  <sheetViews>
    <sheetView zoomScale="85" zoomScaleNormal="85" workbookViewId="0">
      <selection sqref="A1:XFD1048576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11000000</v>
      </c>
      <c r="C2" s="6">
        <v>6500286</v>
      </c>
      <c r="D2">
        <f>C2/2.5</f>
        <v>2600114.4</v>
      </c>
      <c r="E2">
        <f>(D2/60)/10000</f>
        <v>4.3335239999999997</v>
      </c>
      <c r="F2">
        <f>(B2*2)/1000000</f>
        <v>22</v>
      </c>
      <c r="G2">
        <f>IFERROR(B2+C2,0)</f>
        <v>17500286</v>
      </c>
      <c r="H2">
        <f>SUM($G$2:G2)</f>
        <v>17500286</v>
      </c>
      <c r="I2">
        <f>((H2/2.5)/48)/10000</f>
        <v>14.583571666666668</v>
      </c>
      <c r="J2">
        <f>I2+F2+E2</f>
        <v>40.917095666666668</v>
      </c>
      <c r="K2">
        <f>A2*J2</f>
        <v>40.917095666666668</v>
      </c>
    </row>
    <row r="3" spans="1:11">
      <c r="A3">
        <v>2</v>
      </c>
      <c r="B3" s="6">
        <v>11000000</v>
      </c>
      <c r="C3" s="6">
        <v>6642499</v>
      </c>
      <c r="D3">
        <f t="shared" ref="D3:D30" si="0">C3/2.5</f>
        <v>2656999.6</v>
      </c>
      <c r="E3">
        <f t="shared" ref="E3:E30" si="1">(D3/60)/10000</f>
        <v>4.4283326666666669</v>
      </c>
      <c r="F3">
        <f t="shared" ref="F3:F34" si="2">(B3*2)/1000000</f>
        <v>22</v>
      </c>
      <c r="G3">
        <f>IFERROR(B3+C3,0)</f>
        <v>17642499</v>
      </c>
      <c r="H3">
        <f>SUM($G$2:G3)</f>
        <v>35142785</v>
      </c>
      <c r="I3">
        <f t="shared" ref="I3:I30" si="3">((H3/2.5)/48)/10000</f>
        <v>29.285654166666667</v>
      </c>
      <c r="J3">
        <f t="shared" ref="J3:J30" si="4">I3+F3+E3</f>
        <v>55.713986833333337</v>
      </c>
      <c r="K3">
        <f t="shared" ref="K3:K30" si="5">A3*J3</f>
        <v>111.42797366666667</v>
      </c>
    </row>
    <row r="4" spans="1:11">
      <c r="A4">
        <v>3</v>
      </c>
      <c r="B4" s="6">
        <v>11000000</v>
      </c>
      <c r="C4" s="6">
        <v>7439027</v>
      </c>
      <c r="D4">
        <f t="shared" si="0"/>
        <v>2975610.8</v>
      </c>
      <c r="E4">
        <f t="shared" si="1"/>
        <v>4.9593513333333332</v>
      </c>
      <c r="F4">
        <f t="shared" si="2"/>
        <v>22</v>
      </c>
      <c r="G4">
        <f>IFERROR(B4+C4,0)</f>
        <v>18439027</v>
      </c>
      <c r="H4">
        <f>SUM($G$2:G4)</f>
        <v>53581812</v>
      </c>
      <c r="I4">
        <f t="shared" si="3"/>
        <v>44.651510000000002</v>
      </c>
      <c r="J4">
        <f t="shared" si="4"/>
        <v>71.610861333333332</v>
      </c>
      <c r="K4">
        <f t="shared" si="5"/>
        <v>214.832584</v>
      </c>
    </row>
    <row r="5" spans="1:11">
      <c r="A5">
        <v>4</v>
      </c>
      <c r="B5" s="6">
        <v>10852206</v>
      </c>
      <c r="C5" s="6">
        <v>8147793</v>
      </c>
      <c r="D5">
        <f t="shared" si="0"/>
        <v>3259117.2</v>
      </c>
      <c r="E5">
        <f t="shared" si="1"/>
        <v>5.4318620000000006</v>
      </c>
      <c r="F5">
        <f t="shared" si="2"/>
        <v>21.704412000000001</v>
      </c>
      <c r="G5">
        <f>IFERROR(B5+C5,0)</f>
        <v>18999999</v>
      </c>
      <c r="H5">
        <f>SUM($G$2:G5)</f>
        <v>72581811</v>
      </c>
      <c r="I5">
        <f t="shared" si="3"/>
        <v>60.484842499999992</v>
      </c>
      <c r="J5">
        <f t="shared" si="4"/>
        <v>87.621116499999985</v>
      </c>
      <c r="K5">
        <f t="shared" si="5"/>
        <v>350.48446599999994</v>
      </c>
    </row>
    <row r="6" spans="1:11">
      <c r="A6">
        <v>5</v>
      </c>
      <c r="B6" s="6">
        <v>10110066</v>
      </c>
      <c r="C6" s="6">
        <v>8889934</v>
      </c>
      <c r="D6">
        <f t="shared" si="0"/>
        <v>3555973.6</v>
      </c>
      <c r="E6">
        <f t="shared" si="1"/>
        <v>5.9266226666666668</v>
      </c>
      <c r="F6">
        <f t="shared" si="2"/>
        <v>20.220132</v>
      </c>
      <c r="G6">
        <f>IFERROR(B6+C6,0)</f>
        <v>19000000</v>
      </c>
      <c r="H6">
        <f>SUM($G$2:G6)</f>
        <v>91581811</v>
      </c>
      <c r="I6">
        <f t="shared" si="3"/>
        <v>76.318175833333328</v>
      </c>
      <c r="J6">
        <f t="shared" si="4"/>
        <v>102.46493050000001</v>
      </c>
      <c r="K6">
        <f t="shared" si="5"/>
        <v>512.32465250000007</v>
      </c>
    </row>
    <row r="7" spans="1:11">
      <c r="A7">
        <v>6</v>
      </c>
      <c r="B7" s="6">
        <v>11000000</v>
      </c>
      <c r="C7" s="6">
        <v>6900025</v>
      </c>
      <c r="D7">
        <f t="shared" si="0"/>
        <v>2760010</v>
      </c>
      <c r="E7">
        <f t="shared" si="1"/>
        <v>4.6000166666666669</v>
      </c>
      <c r="F7">
        <f t="shared" si="2"/>
        <v>22</v>
      </c>
      <c r="G7">
        <f>IFERROR(B7+C7,0)</f>
        <v>17900025</v>
      </c>
      <c r="H7">
        <f>SUM($G$2:G7)</f>
        <v>109481836</v>
      </c>
      <c r="I7">
        <f t="shared" si="3"/>
        <v>91.234863333333337</v>
      </c>
      <c r="J7">
        <f t="shared" si="4"/>
        <v>117.83488</v>
      </c>
      <c r="K7">
        <f t="shared" si="5"/>
        <v>707.00927999999999</v>
      </c>
    </row>
    <row r="8" spans="1:11">
      <c r="A8">
        <v>7</v>
      </c>
      <c r="B8" s="6">
        <v>11000000</v>
      </c>
      <c r="C8" s="6">
        <v>5663308</v>
      </c>
      <c r="D8">
        <f t="shared" si="0"/>
        <v>2265323.2000000002</v>
      </c>
      <c r="E8">
        <f t="shared" si="1"/>
        <v>3.7755386666666673</v>
      </c>
      <c r="F8">
        <f t="shared" si="2"/>
        <v>22</v>
      </c>
      <c r="G8">
        <f>IFERROR(B8+C8,0)</f>
        <v>16663308</v>
      </c>
      <c r="H8">
        <f>SUM($G$2:G8)</f>
        <v>126145144</v>
      </c>
      <c r="I8">
        <f t="shared" si="3"/>
        <v>105.12095333333335</v>
      </c>
      <c r="J8">
        <f t="shared" si="4"/>
        <v>130.89649200000002</v>
      </c>
      <c r="K8">
        <f t="shared" si="5"/>
        <v>916.27544400000011</v>
      </c>
    </row>
    <row r="9" spans="1:11">
      <c r="A9">
        <v>8</v>
      </c>
      <c r="B9" s="6">
        <v>11000000</v>
      </c>
      <c r="C9" s="6">
        <v>5562535</v>
      </c>
      <c r="D9">
        <f t="shared" si="0"/>
        <v>2225014</v>
      </c>
      <c r="E9">
        <f t="shared" si="1"/>
        <v>3.7083566666666665</v>
      </c>
      <c r="F9">
        <f t="shared" si="2"/>
        <v>22</v>
      </c>
      <c r="G9">
        <f>IFERROR(B9+C9,0)</f>
        <v>16562535</v>
      </c>
      <c r="H9">
        <f>SUM($G$2:G9)</f>
        <v>142707679</v>
      </c>
      <c r="I9">
        <f t="shared" si="3"/>
        <v>118.92306583333334</v>
      </c>
      <c r="J9">
        <f t="shared" si="4"/>
        <v>144.63142250000001</v>
      </c>
      <c r="K9">
        <f t="shared" si="5"/>
        <v>1157.0513800000001</v>
      </c>
    </row>
    <row r="10" spans="1:11">
      <c r="A10">
        <v>9</v>
      </c>
      <c r="B10" s="6">
        <v>11000000</v>
      </c>
      <c r="C10" s="6">
        <v>5375798</v>
      </c>
      <c r="D10">
        <f t="shared" si="0"/>
        <v>2150319.2000000002</v>
      </c>
      <c r="E10">
        <f t="shared" si="1"/>
        <v>3.5838653333333337</v>
      </c>
      <c r="F10">
        <f t="shared" si="2"/>
        <v>22</v>
      </c>
      <c r="G10">
        <f>IFERROR(B10+C10,0)</f>
        <v>16375798</v>
      </c>
      <c r="H10">
        <f>SUM($G$2:G10)</f>
        <v>159083477</v>
      </c>
      <c r="I10">
        <f t="shared" si="3"/>
        <v>132.56956416666665</v>
      </c>
      <c r="J10">
        <f t="shared" si="4"/>
        <v>158.15342949999999</v>
      </c>
      <c r="K10">
        <f t="shared" si="5"/>
        <v>1423.3808654999998</v>
      </c>
    </row>
    <row r="11" spans="1:11">
      <c r="A11">
        <v>10</v>
      </c>
      <c r="B11" s="6">
        <v>11000000</v>
      </c>
      <c r="C11" s="6">
        <v>5245494</v>
      </c>
      <c r="D11">
        <f t="shared" si="0"/>
        <v>2098197.6</v>
      </c>
      <c r="E11">
        <f t="shared" si="1"/>
        <v>3.4969959999999998</v>
      </c>
      <c r="F11">
        <f t="shared" si="2"/>
        <v>22</v>
      </c>
      <c r="G11">
        <f>IFERROR(B11+C11,0)</f>
        <v>16245494</v>
      </c>
      <c r="H11">
        <f>SUM($G$2:G11)</f>
        <v>175328971</v>
      </c>
      <c r="I11">
        <f t="shared" si="3"/>
        <v>146.10747583333335</v>
      </c>
      <c r="J11">
        <f t="shared" si="4"/>
        <v>171.60447183333335</v>
      </c>
      <c r="K11">
        <f t="shared" si="5"/>
        <v>1716.0447183333335</v>
      </c>
    </row>
    <row r="12" spans="1:11">
      <c r="A12">
        <v>11</v>
      </c>
      <c r="B12" s="6">
        <v>11000000</v>
      </c>
      <c r="C12" s="6">
        <v>7994895</v>
      </c>
      <c r="D12">
        <f t="shared" si="0"/>
        <v>3197958</v>
      </c>
      <c r="E12">
        <f t="shared" si="1"/>
        <v>5.3299300000000001</v>
      </c>
      <c r="F12">
        <f t="shared" si="2"/>
        <v>22</v>
      </c>
      <c r="G12">
        <f>IFERROR(B12+C12,0)</f>
        <v>18994895</v>
      </c>
      <c r="H12">
        <f>SUM($G$2:G12)</f>
        <v>194323866</v>
      </c>
      <c r="I12">
        <f t="shared" si="3"/>
        <v>161.936555</v>
      </c>
      <c r="J12">
        <f t="shared" si="4"/>
        <v>189.26648499999999</v>
      </c>
      <c r="K12">
        <f t="shared" si="5"/>
        <v>2081.9313349999998</v>
      </c>
    </row>
    <row r="13" spans="1:11">
      <c r="A13">
        <v>12</v>
      </c>
      <c r="B13" s="6">
        <v>8916415</v>
      </c>
      <c r="C13" s="6">
        <v>10083585</v>
      </c>
      <c r="D13">
        <f t="shared" si="0"/>
        <v>4033434</v>
      </c>
      <c r="E13">
        <f t="shared" si="1"/>
        <v>6.722389999999999</v>
      </c>
      <c r="F13">
        <f t="shared" si="2"/>
        <v>17.832830000000001</v>
      </c>
      <c r="G13">
        <f>IFERROR(B13+C13,0)</f>
        <v>19000000</v>
      </c>
      <c r="H13">
        <f>SUM($G$2:G13)</f>
        <v>213323866</v>
      </c>
      <c r="I13">
        <f t="shared" si="3"/>
        <v>177.76988833333334</v>
      </c>
      <c r="J13">
        <f t="shared" si="4"/>
        <v>202.32510833333333</v>
      </c>
      <c r="K13">
        <f t="shared" si="5"/>
        <v>2427.9013</v>
      </c>
    </row>
    <row r="14" spans="1:11">
      <c r="A14">
        <v>13</v>
      </c>
      <c r="B14" s="6">
        <v>9369971</v>
      </c>
      <c r="C14" s="6">
        <v>9630029</v>
      </c>
      <c r="D14">
        <f t="shared" si="0"/>
        <v>3852011.6</v>
      </c>
      <c r="E14">
        <f t="shared" si="1"/>
        <v>6.4200193333333333</v>
      </c>
      <c r="F14">
        <f t="shared" si="2"/>
        <v>18.739941999999999</v>
      </c>
      <c r="G14">
        <f>IFERROR(B14+C14,0)</f>
        <v>19000000</v>
      </c>
      <c r="H14">
        <f>SUM($G$2:G14)</f>
        <v>232323866</v>
      </c>
      <c r="I14">
        <f t="shared" si="3"/>
        <v>193.60322166666668</v>
      </c>
      <c r="J14">
        <f t="shared" si="4"/>
        <v>218.763183</v>
      </c>
      <c r="K14">
        <f t="shared" si="5"/>
        <v>2843.9213789999999</v>
      </c>
    </row>
    <row r="15" spans="1:11">
      <c r="A15">
        <v>14</v>
      </c>
      <c r="B15" s="6">
        <v>7512015</v>
      </c>
      <c r="C15" s="6">
        <v>11487985</v>
      </c>
      <c r="D15">
        <f t="shared" si="0"/>
        <v>4595194</v>
      </c>
      <c r="E15">
        <f t="shared" si="1"/>
        <v>7.6586566666666664</v>
      </c>
      <c r="F15">
        <f t="shared" si="2"/>
        <v>15.02403</v>
      </c>
      <c r="G15">
        <f>IFERROR(B15+C15,0)</f>
        <v>19000000</v>
      </c>
      <c r="H15">
        <f>SUM($G$2:G15)</f>
        <v>251323866</v>
      </c>
      <c r="I15">
        <f t="shared" si="3"/>
        <v>209.436555</v>
      </c>
      <c r="J15">
        <f t="shared" si="4"/>
        <v>232.11924166666668</v>
      </c>
      <c r="K15">
        <f t="shared" si="5"/>
        <v>3249.6693833333334</v>
      </c>
    </row>
    <row r="16" spans="1:11">
      <c r="A16">
        <v>15</v>
      </c>
      <c r="B16" s="6">
        <v>6477370</v>
      </c>
      <c r="C16" s="6">
        <v>12522630</v>
      </c>
      <c r="D16">
        <f t="shared" si="0"/>
        <v>5009052</v>
      </c>
      <c r="E16">
        <f t="shared" si="1"/>
        <v>8.3484199999999991</v>
      </c>
      <c r="F16">
        <f t="shared" si="2"/>
        <v>12.954739999999999</v>
      </c>
      <c r="G16">
        <f>IFERROR(B16+C16,0)</f>
        <v>19000000</v>
      </c>
      <c r="H16">
        <f>SUM($G$2:G16)</f>
        <v>270323866</v>
      </c>
      <c r="I16">
        <f t="shared" si="3"/>
        <v>225.26988833333334</v>
      </c>
      <c r="J16">
        <f t="shared" si="4"/>
        <v>246.57304833333333</v>
      </c>
      <c r="K16">
        <f t="shared" si="5"/>
        <v>3698.5957250000001</v>
      </c>
    </row>
    <row r="17" spans="1:11">
      <c r="A17">
        <v>16</v>
      </c>
      <c r="B17" s="6">
        <v>6735951</v>
      </c>
      <c r="C17" s="6">
        <v>12264049</v>
      </c>
      <c r="D17">
        <f t="shared" si="0"/>
        <v>4905619.5999999996</v>
      </c>
      <c r="E17">
        <f t="shared" si="1"/>
        <v>8.1760326666666661</v>
      </c>
      <c r="F17">
        <f t="shared" si="2"/>
        <v>13.471902</v>
      </c>
      <c r="G17">
        <f>IFERROR(B17+C17,0)</f>
        <v>19000000</v>
      </c>
      <c r="H17">
        <f>SUM($G$2:G17)</f>
        <v>289323866</v>
      </c>
      <c r="I17">
        <f t="shared" si="3"/>
        <v>241.10322166666668</v>
      </c>
      <c r="J17">
        <f t="shared" si="4"/>
        <v>262.75115633333337</v>
      </c>
      <c r="K17">
        <f t="shared" si="5"/>
        <v>4204.0185013333339</v>
      </c>
    </row>
    <row r="18" spans="1:11">
      <c r="A18">
        <v>17</v>
      </c>
      <c r="B18" s="6">
        <v>7209343</v>
      </c>
      <c r="C18" s="6">
        <v>11790657</v>
      </c>
      <c r="D18">
        <f t="shared" si="0"/>
        <v>4716262.8</v>
      </c>
      <c r="E18">
        <f t="shared" si="1"/>
        <v>7.8604379999999994</v>
      </c>
      <c r="F18">
        <f t="shared" si="2"/>
        <v>14.418685999999999</v>
      </c>
      <c r="G18">
        <f>IFERROR(B18+C18,0)</f>
        <v>19000000</v>
      </c>
      <c r="H18">
        <f>SUM($G$2:G18)</f>
        <v>308323866</v>
      </c>
      <c r="I18">
        <f t="shared" si="3"/>
        <v>256.93655500000006</v>
      </c>
      <c r="J18">
        <f t="shared" si="4"/>
        <v>279.21567900000002</v>
      </c>
      <c r="K18">
        <f t="shared" si="5"/>
        <v>4746.6665430000003</v>
      </c>
    </row>
    <row r="19" spans="1:11">
      <c r="A19">
        <v>18</v>
      </c>
      <c r="B19" s="6">
        <v>7062284</v>
      </c>
      <c r="C19" s="6">
        <v>11937716</v>
      </c>
      <c r="D19">
        <f t="shared" si="0"/>
        <v>4775086.4000000004</v>
      </c>
      <c r="E19">
        <f t="shared" si="1"/>
        <v>7.9584773333333345</v>
      </c>
      <c r="F19">
        <f t="shared" si="2"/>
        <v>14.124568</v>
      </c>
      <c r="G19">
        <f>IFERROR(B19+C19,0)</f>
        <v>19000000</v>
      </c>
      <c r="H19">
        <f>SUM($G$2:G19)</f>
        <v>327323866</v>
      </c>
      <c r="I19">
        <f t="shared" si="3"/>
        <v>272.76988833333331</v>
      </c>
      <c r="J19">
        <f t="shared" si="4"/>
        <v>294.85293366666667</v>
      </c>
      <c r="K19">
        <f t="shared" si="5"/>
        <v>5307.3528059999999</v>
      </c>
    </row>
    <row r="20" spans="1:11">
      <c r="A20">
        <v>19</v>
      </c>
      <c r="B20" s="6">
        <v>6731417</v>
      </c>
      <c r="C20" s="6">
        <v>12268583</v>
      </c>
      <c r="D20">
        <f t="shared" si="0"/>
        <v>4907433.2</v>
      </c>
      <c r="E20">
        <f t="shared" si="1"/>
        <v>8.1790553333333325</v>
      </c>
      <c r="F20">
        <f t="shared" si="2"/>
        <v>13.462834000000001</v>
      </c>
      <c r="G20">
        <f>IFERROR(B20+C20,0)</f>
        <v>19000000</v>
      </c>
      <c r="H20">
        <f>SUM($G$2:G20)</f>
        <v>346323866</v>
      </c>
      <c r="I20">
        <f t="shared" si="3"/>
        <v>288.60322166666668</v>
      </c>
      <c r="J20">
        <f t="shared" si="4"/>
        <v>310.24511100000001</v>
      </c>
      <c r="K20">
        <f t="shared" si="5"/>
        <v>5894.6571089999998</v>
      </c>
    </row>
    <row r="21" spans="1:11">
      <c r="A21">
        <v>20</v>
      </c>
      <c r="B21" s="6">
        <v>5896810</v>
      </c>
      <c r="C21" s="6">
        <v>13103190</v>
      </c>
      <c r="D21">
        <f t="shared" si="0"/>
        <v>5241276</v>
      </c>
      <c r="E21">
        <f t="shared" si="1"/>
        <v>8.7354599999999998</v>
      </c>
      <c r="F21">
        <f t="shared" si="2"/>
        <v>11.793620000000001</v>
      </c>
      <c r="G21">
        <f>IFERROR(B21+C21,0)</f>
        <v>19000000</v>
      </c>
      <c r="H21">
        <f>SUM($G$2:G21)</f>
        <v>365323866</v>
      </c>
      <c r="I21">
        <f t="shared" si="3"/>
        <v>304.43655500000006</v>
      </c>
      <c r="J21">
        <f t="shared" si="4"/>
        <v>324.96563500000002</v>
      </c>
      <c r="K21">
        <f t="shared" si="5"/>
        <v>6499.3127000000004</v>
      </c>
    </row>
    <row r="22" spans="1:11">
      <c r="A22">
        <v>21</v>
      </c>
      <c r="B22" s="6">
        <v>5774472</v>
      </c>
      <c r="C22" s="6">
        <v>13225528</v>
      </c>
      <c r="D22">
        <f t="shared" si="0"/>
        <v>5290211.2</v>
      </c>
      <c r="E22">
        <f t="shared" si="1"/>
        <v>8.8170186666666677</v>
      </c>
      <c r="F22">
        <f t="shared" si="2"/>
        <v>11.548944000000001</v>
      </c>
      <c r="G22">
        <f t="shared" ref="G22:G30" si="6">IFERROR(B22+C22,0)</f>
        <v>19000000</v>
      </c>
      <c r="H22">
        <f>SUM($G$2:G22)</f>
        <v>384323866</v>
      </c>
      <c r="I22">
        <f t="shared" si="3"/>
        <v>320.26988833333331</v>
      </c>
      <c r="J22">
        <f t="shared" si="4"/>
        <v>340.635851</v>
      </c>
      <c r="K22">
        <f t="shared" si="5"/>
        <v>7153.3528710000001</v>
      </c>
    </row>
    <row r="23" spans="1:11">
      <c r="A23">
        <v>22</v>
      </c>
      <c r="B23" s="6">
        <v>5584636</v>
      </c>
      <c r="C23" s="6">
        <v>13415364</v>
      </c>
      <c r="D23">
        <f t="shared" si="0"/>
        <v>5366145.5999999996</v>
      </c>
      <c r="E23">
        <f t="shared" si="1"/>
        <v>8.9435760000000002</v>
      </c>
      <c r="F23">
        <f t="shared" si="2"/>
        <v>11.169271999999999</v>
      </c>
      <c r="G23">
        <f t="shared" si="6"/>
        <v>19000000</v>
      </c>
      <c r="H23">
        <f>SUM($G$2:G23)</f>
        <v>403323866</v>
      </c>
      <c r="I23">
        <f t="shared" si="3"/>
        <v>336.10322166666668</v>
      </c>
      <c r="J23">
        <f t="shared" si="4"/>
        <v>356.21606966666667</v>
      </c>
      <c r="K23">
        <f t="shared" si="5"/>
        <v>7836.7535326666666</v>
      </c>
    </row>
    <row r="24" spans="1:11">
      <c r="A24">
        <v>23</v>
      </c>
      <c r="B24" s="6">
        <v>5540492</v>
      </c>
      <c r="C24" s="6">
        <v>13459508</v>
      </c>
      <c r="D24">
        <f t="shared" si="0"/>
        <v>5383803.2000000002</v>
      </c>
      <c r="E24">
        <f t="shared" si="1"/>
        <v>8.9730053333333331</v>
      </c>
      <c r="F24">
        <f t="shared" si="2"/>
        <v>11.080984000000001</v>
      </c>
      <c r="G24">
        <f t="shared" si="6"/>
        <v>19000000</v>
      </c>
      <c r="H24">
        <f>SUM($G$2:G24)</f>
        <v>422323866</v>
      </c>
      <c r="I24">
        <f t="shared" si="3"/>
        <v>351.93655500000006</v>
      </c>
      <c r="J24">
        <f t="shared" si="4"/>
        <v>371.99054433333339</v>
      </c>
      <c r="K24">
        <f t="shared" si="5"/>
        <v>8555.7825196666672</v>
      </c>
    </row>
    <row r="25" spans="1:11">
      <c r="A25">
        <v>24</v>
      </c>
      <c r="B25" s="6">
        <v>4951651</v>
      </c>
      <c r="C25" s="6">
        <v>14048349</v>
      </c>
      <c r="D25">
        <f t="shared" si="0"/>
        <v>5619339.5999999996</v>
      </c>
      <c r="E25">
        <f t="shared" si="1"/>
        <v>9.3655659999999994</v>
      </c>
      <c r="F25">
        <f t="shared" si="2"/>
        <v>9.903302</v>
      </c>
      <c r="G25">
        <f t="shared" si="6"/>
        <v>19000000</v>
      </c>
      <c r="H25">
        <f>SUM($G$2:G25)</f>
        <v>441323866</v>
      </c>
      <c r="I25">
        <f t="shared" si="3"/>
        <v>367.76988833333331</v>
      </c>
      <c r="J25">
        <f t="shared" si="4"/>
        <v>387.03875633333331</v>
      </c>
      <c r="K25">
        <f t="shared" si="5"/>
        <v>9288.930151999999</v>
      </c>
    </row>
    <row r="26" spans="1:11">
      <c r="A26">
        <v>25</v>
      </c>
      <c r="B26" s="6">
        <v>6392034</v>
      </c>
      <c r="C26" s="6">
        <v>12607966</v>
      </c>
      <c r="D26">
        <f t="shared" si="0"/>
        <v>5043186.4000000004</v>
      </c>
      <c r="E26">
        <f t="shared" si="1"/>
        <v>8.4053106666666668</v>
      </c>
      <c r="F26">
        <f t="shared" si="2"/>
        <v>12.784068</v>
      </c>
      <c r="G26">
        <f t="shared" si="6"/>
        <v>19000000</v>
      </c>
      <c r="H26">
        <f>SUM($G$2:G26)</f>
        <v>460323866</v>
      </c>
      <c r="I26">
        <f t="shared" si="3"/>
        <v>383.60322166666668</v>
      </c>
      <c r="J26">
        <f t="shared" si="4"/>
        <v>404.79260033333333</v>
      </c>
      <c r="K26">
        <f t="shared" si="5"/>
        <v>10119.815008333333</v>
      </c>
    </row>
    <row r="27" spans="1:11">
      <c r="A27">
        <v>26</v>
      </c>
      <c r="B27" s="6">
        <v>6892789</v>
      </c>
      <c r="C27" s="6">
        <v>10448626</v>
      </c>
      <c r="D27">
        <f t="shared" si="0"/>
        <v>4179450.4</v>
      </c>
      <c r="E27">
        <f t="shared" si="1"/>
        <v>6.9657506666666666</v>
      </c>
      <c r="F27">
        <f t="shared" si="2"/>
        <v>13.785577999999999</v>
      </c>
      <c r="G27">
        <f t="shared" si="6"/>
        <v>17341415</v>
      </c>
      <c r="H27">
        <f>SUM($G$2:G27)</f>
        <v>477665281</v>
      </c>
      <c r="I27">
        <f t="shared" si="3"/>
        <v>398.05440083333332</v>
      </c>
      <c r="J27">
        <f t="shared" si="4"/>
        <v>418.80572949999998</v>
      </c>
      <c r="K27">
        <f t="shared" si="5"/>
        <v>10888.948967</v>
      </c>
    </row>
    <row r="28" spans="1:11">
      <c r="B28" s="6"/>
      <c r="C28" s="6"/>
    </row>
    <row r="29" spans="1:11">
      <c r="B29" s="6"/>
      <c r="C29" s="6"/>
    </row>
    <row r="30" spans="1:11">
      <c r="B30" s="6"/>
      <c r="C30" s="6"/>
    </row>
    <row r="31" spans="1:11">
      <c r="B31" s="6"/>
      <c r="C31" s="6"/>
    </row>
    <row r="32" spans="1:11">
      <c r="B32" s="6"/>
      <c r="C32" s="6"/>
    </row>
    <row r="33" spans="1:10">
      <c r="B33" s="6"/>
      <c r="C33" s="6"/>
    </row>
    <row r="34" spans="1:10">
      <c r="B34" s="6"/>
      <c r="C34" s="6"/>
    </row>
    <row r="35" spans="1:10">
      <c r="C35" s="5">
        <f>SUM(C2:C33)</f>
        <v>256655359</v>
      </c>
    </row>
    <row r="37" spans="1:10">
      <c r="H37" s="14" t="s">
        <v>37</v>
      </c>
      <c r="I37" t="s">
        <v>2</v>
      </c>
      <c r="J37" s="15">
        <f>MAX(K2:K33)</f>
        <v>10888.948967</v>
      </c>
    </row>
    <row r="38" spans="1:10">
      <c r="I38" t="s">
        <v>3</v>
      </c>
      <c r="J38" s="15">
        <f>MAX(J2:J33)</f>
        <v>418.80572949999998</v>
      </c>
    </row>
    <row r="42" spans="1:10">
      <c r="A42" s="6"/>
      <c r="B42" s="7"/>
      <c r="C42" s="7"/>
      <c r="D42" s="6"/>
      <c r="E42" s="6"/>
      <c r="F42" s="7"/>
    </row>
    <row r="43" spans="1:10" ht="15.75" thickBot="1">
      <c r="A43" s="6"/>
      <c r="B43" s="7"/>
      <c r="C43" s="7"/>
      <c r="D43" s="6"/>
      <c r="E43" s="6"/>
      <c r="F43" s="7"/>
    </row>
    <row r="44" spans="1:10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0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0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0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0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/>
      <c r="B57" s="6"/>
      <c r="C57" s="6"/>
      <c r="D57" s="6"/>
      <c r="E57" s="6"/>
      <c r="F57" s="6"/>
      <c r="G57" s="6"/>
    </row>
    <row r="58" spans="1:9">
      <c r="A58" s="6">
        <v>1</v>
      </c>
      <c r="B58" s="6">
        <v>11000000</v>
      </c>
      <c r="C58" s="6">
        <v>6500286</v>
      </c>
      <c r="D58" s="6">
        <v>0.59</v>
      </c>
      <c r="E58" s="6">
        <v>2.2664</v>
      </c>
      <c r="F58" s="6">
        <v>884608363</v>
      </c>
      <c r="G58" s="6">
        <v>804189421</v>
      </c>
    </row>
    <row r="59" spans="1:9">
      <c r="A59" s="6">
        <v>2</v>
      </c>
      <c r="B59" s="6">
        <v>11000000</v>
      </c>
      <c r="C59" s="6">
        <v>6642499</v>
      </c>
      <c r="D59" s="6">
        <v>0.6</v>
      </c>
      <c r="E59" s="6">
        <v>1.7639</v>
      </c>
      <c r="F59" s="6">
        <v>628359358</v>
      </c>
      <c r="G59" s="6">
        <v>519305254</v>
      </c>
    </row>
    <row r="60" spans="1:9">
      <c r="A60" s="6">
        <v>3</v>
      </c>
      <c r="B60" s="6">
        <v>11000000</v>
      </c>
      <c r="C60" s="6">
        <v>7439027</v>
      </c>
      <c r="D60" s="6">
        <v>0.68</v>
      </c>
      <c r="E60" s="6">
        <v>2.2202999999999999</v>
      </c>
      <c r="F60" s="6">
        <v>858062886</v>
      </c>
      <c r="G60" s="6">
        <v>644675346</v>
      </c>
    </row>
    <row r="61" spans="1:9">
      <c r="A61" s="6">
        <v>4</v>
      </c>
      <c r="B61" s="6">
        <v>10852206</v>
      </c>
      <c r="C61" s="6">
        <v>8147793</v>
      </c>
      <c r="D61" s="6">
        <v>0.75</v>
      </c>
      <c r="E61" s="6">
        <v>2.5289000000000001</v>
      </c>
      <c r="F61" s="6">
        <v>998869550</v>
      </c>
      <c r="G61" s="6">
        <v>682241343</v>
      </c>
    </row>
    <row r="62" spans="1:9">
      <c r="A62" s="6">
        <v>5</v>
      </c>
      <c r="B62" s="6">
        <v>10110066</v>
      </c>
      <c r="C62" s="6">
        <v>8889934</v>
      </c>
      <c r="D62" s="6">
        <v>0.88</v>
      </c>
      <c r="E62" s="6">
        <v>2.4685000000000001</v>
      </c>
      <c r="F62" s="6">
        <v>898031442</v>
      </c>
      <c r="G62" s="6">
        <v>557606871</v>
      </c>
    </row>
    <row r="63" spans="1:9">
      <c r="A63" s="6">
        <v>6</v>
      </c>
      <c r="B63" s="6">
        <v>11000000</v>
      </c>
      <c r="C63" s="6">
        <v>6900025</v>
      </c>
      <c r="D63" s="6">
        <v>0.63</v>
      </c>
      <c r="E63" s="6">
        <v>2.4777</v>
      </c>
      <c r="F63" s="6">
        <v>990859538</v>
      </c>
      <c r="G63" s="6">
        <v>559314378</v>
      </c>
    </row>
    <row r="64" spans="1:9">
      <c r="A64" s="6">
        <v>7</v>
      </c>
      <c r="B64" s="6">
        <v>11000000</v>
      </c>
      <c r="C64" s="6">
        <v>5663308</v>
      </c>
      <c r="D64" s="6">
        <v>0.51</v>
      </c>
      <c r="E64" s="6">
        <v>2.3622000000000001</v>
      </c>
      <c r="F64" s="6">
        <v>936145391</v>
      </c>
      <c r="G64" s="6">
        <v>480390607</v>
      </c>
    </row>
    <row r="65" spans="1:7">
      <c r="A65" s="6">
        <v>8</v>
      </c>
      <c r="B65" s="6">
        <v>11000000</v>
      </c>
      <c r="C65" s="6">
        <v>5562535</v>
      </c>
      <c r="D65" s="6">
        <v>0.51</v>
      </c>
      <c r="E65" s="6">
        <v>2.3620000000000001</v>
      </c>
      <c r="F65" s="6">
        <v>936379304</v>
      </c>
      <c r="G65" s="6">
        <v>436827856</v>
      </c>
    </row>
    <row r="66" spans="1:7">
      <c r="A66" s="6">
        <v>9</v>
      </c>
      <c r="B66" s="6">
        <v>11000000</v>
      </c>
      <c r="C66" s="6">
        <v>5375798</v>
      </c>
      <c r="D66" s="6">
        <v>0.49</v>
      </c>
      <c r="E66" s="6">
        <v>2.4289000000000001</v>
      </c>
      <c r="F66" s="6">
        <v>971020588</v>
      </c>
      <c r="G66" s="6">
        <v>411807519</v>
      </c>
    </row>
    <row r="67" spans="1:7">
      <c r="A67" s="6">
        <v>10</v>
      </c>
      <c r="B67" s="6">
        <v>11000000</v>
      </c>
      <c r="C67" s="6">
        <v>5245494</v>
      </c>
      <c r="D67" s="6">
        <v>0.48</v>
      </c>
      <c r="E67" s="6">
        <v>2.5424000000000002</v>
      </c>
      <c r="F67" s="6">
        <v>1029252544</v>
      </c>
      <c r="G67" s="6">
        <v>396821412</v>
      </c>
    </row>
    <row r="68" spans="1:7">
      <c r="A68" s="6">
        <v>11</v>
      </c>
      <c r="B68" s="6">
        <v>11000000</v>
      </c>
      <c r="C68" s="6">
        <v>7994895</v>
      </c>
      <c r="D68" s="6">
        <v>0.73</v>
      </c>
      <c r="E68" s="6">
        <v>3.3022</v>
      </c>
      <c r="F68" s="6">
        <v>1407008100</v>
      </c>
      <c r="G68" s="6">
        <v>493147755</v>
      </c>
    </row>
    <row r="69" spans="1:7">
      <c r="A69" s="6">
        <v>12</v>
      </c>
      <c r="B69" s="6">
        <v>8916415</v>
      </c>
      <c r="C69" s="6">
        <v>10083585</v>
      </c>
      <c r="D69" s="6">
        <v>1.1299999999999999</v>
      </c>
      <c r="E69" s="6">
        <v>0.97719999999999996</v>
      </c>
      <c r="F69" s="6">
        <v>169286710</v>
      </c>
      <c r="G69" s="6">
        <v>53939963</v>
      </c>
    </row>
    <row r="70" spans="1:7">
      <c r="A70" s="6">
        <v>13</v>
      </c>
      <c r="B70" s="6">
        <v>9369971</v>
      </c>
      <c r="C70" s="6">
        <v>9630029</v>
      </c>
      <c r="D70" s="6">
        <v>1.03</v>
      </c>
      <c r="E70" s="6">
        <v>1.0991</v>
      </c>
      <c r="F70" s="6">
        <v>233934410</v>
      </c>
      <c r="G70" s="6">
        <v>67762466</v>
      </c>
    </row>
    <row r="71" spans="1:7">
      <c r="A71" s="6">
        <v>14</v>
      </c>
      <c r="B71" s="6">
        <v>7512015</v>
      </c>
      <c r="C71" s="6">
        <v>11487985</v>
      </c>
      <c r="D71" s="6">
        <v>1.53</v>
      </c>
      <c r="E71" s="6">
        <v>1.1866000000000001</v>
      </c>
      <c r="F71" s="6">
        <v>205590991</v>
      </c>
      <c r="G71" s="6">
        <v>54138534</v>
      </c>
    </row>
    <row r="72" spans="1:7">
      <c r="A72" s="6">
        <v>15</v>
      </c>
      <c r="B72" s="6">
        <v>6477370</v>
      </c>
      <c r="C72" s="6">
        <v>12522630</v>
      </c>
      <c r="D72" s="6">
        <v>1.93</v>
      </c>
      <c r="E72" s="6">
        <v>1.0751999999999999</v>
      </c>
      <c r="F72" s="6">
        <v>135311137</v>
      </c>
      <c r="G72" s="6">
        <v>32392410</v>
      </c>
    </row>
    <row r="73" spans="1:7">
      <c r="A73" s="6">
        <v>16</v>
      </c>
      <c r="B73" s="6">
        <v>6735951</v>
      </c>
      <c r="C73" s="6">
        <v>12264049</v>
      </c>
      <c r="D73" s="6">
        <v>1.82</v>
      </c>
      <c r="E73" s="6">
        <v>1.1482000000000001</v>
      </c>
      <c r="F73" s="6">
        <v>165947375</v>
      </c>
      <c r="G73" s="6">
        <v>36114984</v>
      </c>
    </row>
    <row r="74" spans="1:7">
      <c r="A74" s="6">
        <v>17</v>
      </c>
      <c r="B74" s="6">
        <v>7209343</v>
      </c>
      <c r="C74" s="6">
        <v>11790657</v>
      </c>
      <c r="D74" s="6">
        <v>1.64</v>
      </c>
      <c r="E74" s="6">
        <v>1.2113</v>
      </c>
      <c r="F74" s="6">
        <v>203033211</v>
      </c>
      <c r="G74" s="6">
        <v>40169038</v>
      </c>
    </row>
    <row r="75" spans="1:7">
      <c r="A75" s="6">
        <v>18</v>
      </c>
      <c r="B75" s="6">
        <v>7062284</v>
      </c>
      <c r="C75" s="6">
        <v>11937716</v>
      </c>
      <c r="D75" s="6">
        <v>1.69</v>
      </c>
      <c r="E75" s="6">
        <v>1.2256</v>
      </c>
      <c r="F75" s="6">
        <v>202306688</v>
      </c>
      <c r="G75" s="6">
        <v>36386636</v>
      </c>
    </row>
    <row r="76" spans="1:7">
      <c r="A76" s="6">
        <v>19</v>
      </c>
      <c r="B76" s="6">
        <v>6731417</v>
      </c>
      <c r="C76" s="6">
        <v>12268583</v>
      </c>
      <c r="D76" s="6">
        <v>1.82</v>
      </c>
      <c r="E76" s="6">
        <v>1.2622</v>
      </c>
      <c r="F76" s="6">
        <v>201324296</v>
      </c>
      <c r="G76" s="6">
        <v>32918131</v>
      </c>
    </row>
    <row r="77" spans="1:7">
      <c r="A77" s="6">
        <v>20</v>
      </c>
      <c r="B77" s="6">
        <v>5896810</v>
      </c>
      <c r="C77" s="6">
        <v>13103190</v>
      </c>
      <c r="D77" s="6">
        <v>2.2200000000000002</v>
      </c>
      <c r="E77" s="6">
        <v>1.2619</v>
      </c>
      <c r="F77" s="6">
        <v>168542269</v>
      </c>
      <c r="G77" s="6">
        <v>25052734</v>
      </c>
    </row>
    <row r="78" spans="1:7">
      <c r="A78" s="6">
        <v>21</v>
      </c>
      <c r="B78" s="6">
        <v>5774472</v>
      </c>
      <c r="C78" s="6">
        <v>13225528</v>
      </c>
      <c r="D78" s="6">
        <v>2.29</v>
      </c>
      <c r="E78" s="6">
        <v>1.3311999999999999</v>
      </c>
      <c r="F78" s="6">
        <v>182271184</v>
      </c>
      <c r="G78" s="6">
        <v>24630409</v>
      </c>
    </row>
    <row r="79" spans="1:7">
      <c r="A79" s="6">
        <v>22</v>
      </c>
      <c r="B79" s="6">
        <v>5584636</v>
      </c>
      <c r="C79" s="6">
        <v>13415364</v>
      </c>
      <c r="D79" s="6">
        <v>2.4</v>
      </c>
      <c r="E79" s="6">
        <v>1.4434</v>
      </c>
      <c r="F79" s="6">
        <v>203240081</v>
      </c>
      <c r="G79" s="6">
        <v>24967226</v>
      </c>
    </row>
    <row r="80" spans="1:7">
      <c r="A80" s="6">
        <v>23</v>
      </c>
      <c r="B80" s="6">
        <v>5540492</v>
      </c>
      <c r="C80" s="6">
        <v>13459508</v>
      </c>
      <c r="D80" s="6">
        <v>2.4300000000000002</v>
      </c>
      <c r="E80" s="6">
        <v>1.5347999999999999</v>
      </c>
      <c r="F80" s="6">
        <v>224553166</v>
      </c>
      <c r="G80" s="6">
        <v>25077684</v>
      </c>
    </row>
    <row r="81" spans="1:7">
      <c r="A81" s="6">
        <v>24</v>
      </c>
      <c r="B81" s="6">
        <v>4951651</v>
      </c>
      <c r="C81" s="6">
        <v>14048349</v>
      </c>
      <c r="D81" s="6">
        <v>2.84</v>
      </c>
      <c r="E81" s="6">
        <v>1.8079000000000001</v>
      </c>
      <c r="F81" s="6">
        <v>256669148</v>
      </c>
      <c r="G81" s="6">
        <v>26058489</v>
      </c>
    </row>
    <row r="82" spans="1:7">
      <c r="A82" s="6">
        <v>25</v>
      </c>
      <c r="B82" s="6">
        <v>6392034</v>
      </c>
      <c r="C82" s="6">
        <v>12607966</v>
      </c>
      <c r="D82" s="6">
        <v>1.97</v>
      </c>
      <c r="E82" s="6">
        <v>1.8569</v>
      </c>
      <c r="F82" s="6">
        <v>363945232</v>
      </c>
      <c r="G82" s="6">
        <v>33590688</v>
      </c>
    </row>
    <row r="83" spans="1:7">
      <c r="A83" s="6">
        <v>26</v>
      </c>
      <c r="B83" s="6">
        <v>6892789</v>
      </c>
      <c r="C83" s="6">
        <v>10448626</v>
      </c>
      <c r="D83" s="6">
        <v>1.52</v>
      </c>
      <c r="E83" s="6">
        <v>2.1492</v>
      </c>
      <c r="F83" s="6">
        <v>496009091</v>
      </c>
      <c r="G83" s="6">
        <v>41965573</v>
      </c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90"/>
  <sheetViews>
    <sheetView topLeftCell="A16" zoomScale="85" zoomScaleNormal="85" workbookViewId="0">
      <selection activeCell="J46" sqref="J46"/>
    </sheetView>
  </sheetViews>
  <sheetFormatPr defaultRowHeight="15"/>
  <cols>
    <col min="1" max="11" width="26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3" t="s">
        <v>30</v>
      </c>
      <c r="F1" s="13" t="s">
        <v>31</v>
      </c>
      <c r="G1" s="2" t="s">
        <v>32</v>
      </c>
      <c r="H1" s="2" t="s">
        <v>33</v>
      </c>
      <c r="I1" s="13" t="s">
        <v>34</v>
      </c>
      <c r="J1" s="1" t="s">
        <v>35</v>
      </c>
      <c r="K1" s="16" t="s">
        <v>36</v>
      </c>
    </row>
    <row r="2" spans="1:11">
      <c r="A2">
        <v>1</v>
      </c>
      <c r="B2" s="6">
        <v>9600000</v>
      </c>
      <c r="C2" s="6">
        <v>5670215</v>
      </c>
      <c r="D2">
        <f>C2/2.5</f>
        <v>2268086</v>
      </c>
      <c r="E2">
        <f>(D2/60)/10000</f>
        <v>3.7801433333333336</v>
      </c>
      <c r="F2">
        <f>(B2*2)/1000000</f>
        <v>19.2</v>
      </c>
      <c r="G2">
        <f>IFERROR(B2+C2,0)</f>
        <v>15270215</v>
      </c>
      <c r="H2">
        <f>SUM($G$2:G2)</f>
        <v>15270215</v>
      </c>
      <c r="I2">
        <f>((H2/2.5)/48)/10000</f>
        <v>12.725179166666667</v>
      </c>
      <c r="J2">
        <f>I2+F2+E2</f>
        <v>35.705322500000001</v>
      </c>
      <c r="K2">
        <f>A2*J2</f>
        <v>35.705322500000001</v>
      </c>
    </row>
    <row r="3" spans="1:11">
      <c r="A3">
        <v>2</v>
      </c>
      <c r="B3" s="6">
        <v>9600000</v>
      </c>
      <c r="C3" s="6">
        <v>5715161</v>
      </c>
      <c r="D3">
        <f t="shared" ref="D3:D33" si="0">C3/2.5</f>
        <v>2286064.4</v>
      </c>
      <c r="E3">
        <f t="shared" ref="E3:E33" si="1">(D3/60)/10000</f>
        <v>3.8101073333333333</v>
      </c>
      <c r="F3">
        <f t="shared" ref="F3:F34" si="2">(B3*2)/1000000</f>
        <v>19.2</v>
      </c>
      <c r="G3">
        <f>IFERROR(B3+C3,0)</f>
        <v>15315161</v>
      </c>
      <c r="H3">
        <f>SUM($G$2:G3)</f>
        <v>30585376</v>
      </c>
      <c r="I3">
        <f t="shared" ref="I3:I33" si="3">((H3/2.5)/48)/10000</f>
        <v>25.487813333333332</v>
      </c>
      <c r="J3">
        <f t="shared" ref="J3:J27" si="4">I3+F3+E3</f>
        <v>48.497920666666666</v>
      </c>
      <c r="K3">
        <f t="shared" ref="K3:K27" si="5">A3*J3</f>
        <v>96.995841333333331</v>
      </c>
    </row>
    <row r="4" spans="1:11">
      <c r="A4">
        <v>3</v>
      </c>
      <c r="B4" s="6">
        <v>9600000</v>
      </c>
      <c r="C4" s="6">
        <v>6167705</v>
      </c>
      <c r="D4">
        <f t="shared" si="0"/>
        <v>2467082</v>
      </c>
      <c r="E4">
        <f t="shared" si="1"/>
        <v>4.1118033333333335</v>
      </c>
      <c r="F4">
        <f t="shared" si="2"/>
        <v>19.2</v>
      </c>
      <c r="G4">
        <f>IFERROR(B4+C4,0)</f>
        <v>15767705</v>
      </c>
      <c r="H4">
        <f>SUM($G$2:G4)</f>
        <v>46353081</v>
      </c>
      <c r="I4">
        <f t="shared" si="3"/>
        <v>38.627567499999998</v>
      </c>
      <c r="J4">
        <f t="shared" si="4"/>
        <v>61.939370833333335</v>
      </c>
      <c r="K4">
        <f t="shared" si="5"/>
        <v>185.81811250000001</v>
      </c>
    </row>
    <row r="5" spans="1:11">
      <c r="A5">
        <v>4</v>
      </c>
      <c r="B5" s="6">
        <v>9499851</v>
      </c>
      <c r="C5" s="6">
        <v>6500149</v>
      </c>
      <c r="D5">
        <f t="shared" si="0"/>
        <v>2600059.6</v>
      </c>
      <c r="E5">
        <f t="shared" si="1"/>
        <v>4.3334326666666669</v>
      </c>
      <c r="F5">
        <f t="shared" si="2"/>
        <v>18.999701999999999</v>
      </c>
      <c r="G5">
        <f>IFERROR(B5+C5,0)</f>
        <v>16000000</v>
      </c>
      <c r="H5">
        <f>SUM($G$2:G5)</f>
        <v>62353081</v>
      </c>
      <c r="I5">
        <f t="shared" si="3"/>
        <v>51.960900833333334</v>
      </c>
      <c r="J5">
        <f t="shared" si="4"/>
        <v>75.294035499999993</v>
      </c>
      <c r="K5">
        <f t="shared" si="5"/>
        <v>301.17614199999997</v>
      </c>
    </row>
    <row r="6" spans="1:11">
      <c r="A6">
        <v>5</v>
      </c>
      <c r="B6" s="6">
        <v>8789528</v>
      </c>
      <c r="C6" s="6">
        <v>7210472</v>
      </c>
      <c r="D6">
        <f t="shared" si="0"/>
        <v>2884188.8</v>
      </c>
      <c r="E6">
        <f t="shared" si="1"/>
        <v>4.8069813333333329</v>
      </c>
      <c r="F6">
        <f t="shared" si="2"/>
        <v>17.579056000000001</v>
      </c>
      <c r="G6">
        <f>IFERROR(B6+C6,0)</f>
        <v>16000000</v>
      </c>
      <c r="H6">
        <f>SUM($G$2:G6)</f>
        <v>78353081</v>
      </c>
      <c r="I6">
        <f t="shared" si="3"/>
        <v>65.294234166666669</v>
      </c>
      <c r="J6">
        <f t="shared" si="4"/>
        <v>87.680271500000003</v>
      </c>
      <c r="K6">
        <f t="shared" si="5"/>
        <v>438.40135750000002</v>
      </c>
    </row>
    <row r="7" spans="1:11">
      <c r="A7">
        <v>6</v>
      </c>
      <c r="B7" s="6">
        <v>8700819</v>
      </c>
      <c r="C7" s="6">
        <v>7299181</v>
      </c>
      <c r="D7">
        <f t="shared" si="0"/>
        <v>2919672.4</v>
      </c>
      <c r="E7">
        <f t="shared" si="1"/>
        <v>4.8661206666666663</v>
      </c>
      <c r="F7">
        <f t="shared" si="2"/>
        <v>17.401637999999998</v>
      </c>
      <c r="G7">
        <f>IFERROR(B7+C7,0)</f>
        <v>16000000</v>
      </c>
      <c r="H7">
        <f>SUM($G$2:G7)</f>
        <v>94353081</v>
      </c>
      <c r="I7">
        <f t="shared" si="3"/>
        <v>78.627567499999998</v>
      </c>
      <c r="J7">
        <f t="shared" si="4"/>
        <v>100.89532616666665</v>
      </c>
      <c r="K7">
        <f t="shared" si="5"/>
        <v>605.37195699999984</v>
      </c>
    </row>
    <row r="8" spans="1:11">
      <c r="A8">
        <v>7</v>
      </c>
      <c r="B8" s="6">
        <v>9600000</v>
      </c>
      <c r="C8" s="6">
        <v>5902280</v>
      </c>
      <c r="D8">
        <f t="shared" si="0"/>
        <v>2360912</v>
      </c>
      <c r="E8">
        <f t="shared" si="1"/>
        <v>3.9348533333333333</v>
      </c>
      <c r="F8">
        <f t="shared" si="2"/>
        <v>19.2</v>
      </c>
      <c r="G8">
        <f>IFERROR(B8+C8,0)</f>
        <v>15502280</v>
      </c>
      <c r="H8">
        <f>SUM($G$2:G8)</f>
        <v>109855361</v>
      </c>
      <c r="I8">
        <f t="shared" si="3"/>
        <v>91.546134166666661</v>
      </c>
      <c r="J8">
        <f t="shared" si="4"/>
        <v>114.6809875</v>
      </c>
      <c r="K8">
        <f t="shared" si="5"/>
        <v>802.76691249999999</v>
      </c>
    </row>
    <row r="9" spans="1:11">
      <c r="A9">
        <v>8</v>
      </c>
      <c r="B9" s="6">
        <v>9600000</v>
      </c>
      <c r="C9" s="6">
        <v>4941963</v>
      </c>
      <c r="D9">
        <f t="shared" si="0"/>
        <v>1976785.2</v>
      </c>
      <c r="E9">
        <f t="shared" si="1"/>
        <v>3.2946419999999996</v>
      </c>
      <c r="F9">
        <f t="shared" si="2"/>
        <v>19.2</v>
      </c>
      <c r="G9">
        <f>IFERROR(B9+C9,0)</f>
        <v>14541963</v>
      </c>
      <c r="H9">
        <f>SUM($G$2:G9)</f>
        <v>124397324</v>
      </c>
      <c r="I9">
        <f t="shared" si="3"/>
        <v>103.66443666666667</v>
      </c>
      <c r="J9">
        <f t="shared" si="4"/>
        <v>126.15907866666667</v>
      </c>
      <c r="K9">
        <f t="shared" si="5"/>
        <v>1009.2726293333334</v>
      </c>
    </row>
    <row r="10" spans="1:11">
      <c r="A10">
        <v>9</v>
      </c>
      <c r="B10" s="6">
        <v>9600000</v>
      </c>
      <c r="C10" s="6">
        <v>5541703</v>
      </c>
      <c r="D10">
        <f t="shared" si="0"/>
        <v>2216681.2000000002</v>
      </c>
      <c r="E10">
        <f t="shared" si="1"/>
        <v>3.6944686666666668</v>
      </c>
      <c r="F10">
        <f t="shared" si="2"/>
        <v>19.2</v>
      </c>
      <c r="G10">
        <f>IFERROR(B10+C10,0)</f>
        <v>15141703</v>
      </c>
      <c r="H10">
        <f>SUM($G$2:G10)</f>
        <v>139539027</v>
      </c>
      <c r="I10">
        <f t="shared" si="3"/>
        <v>116.28252249999998</v>
      </c>
      <c r="J10">
        <f t="shared" si="4"/>
        <v>139.17699116666665</v>
      </c>
      <c r="K10">
        <f t="shared" si="5"/>
        <v>1252.5929204999998</v>
      </c>
    </row>
    <row r="11" spans="1:11">
      <c r="A11">
        <v>10</v>
      </c>
      <c r="B11" s="6">
        <v>9600000</v>
      </c>
      <c r="C11" s="6">
        <v>6271965</v>
      </c>
      <c r="D11">
        <f t="shared" si="0"/>
        <v>2508786</v>
      </c>
      <c r="E11">
        <f t="shared" si="1"/>
        <v>4.1813099999999999</v>
      </c>
      <c r="F11">
        <f t="shared" si="2"/>
        <v>19.2</v>
      </c>
      <c r="G11">
        <f>IFERROR(B11+C11,0)</f>
        <v>15871965</v>
      </c>
      <c r="H11">
        <f>SUM($G$2:G11)</f>
        <v>155410992</v>
      </c>
      <c r="I11">
        <f t="shared" si="3"/>
        <v>129.50915999999998</v>
      </c>
      <c r="J11">
        <f t="shared" si="4"/>
        <v>152.89046999999997</v>
      </c>
      <c r="K11">
        <f t="shared" si="5"/>
        <v>1528.9046999999996</v>
      </c>
    </row>
    <row r="12" spans="1:11">
      <c r="A12">
        <v>11</v>
      </c>
      <c r="B12" s="6">
        <v>9600000</v>
      </c>
      <c r="C12" s="6">
        <v>4621419</v>
      </c>
      <c r="D12">
        <f t="shared" si="0"/>
        <v>1848567.6</v>
      </c>
      <c r="E12">
        <f t="shared" si="1"/>
        <v>3.0809460000000004</v>
      </c>
      <c r="F12">
        <f t="shared" si="2"/>
        <v>19.2</v>
      </c>
      <c r="G12">
        <f>IFERROR(B12+C12,0)</f>
        <v>14221419</v>
      </c>
      <c r="H12">
        <f>SUM($G$2:G12)</f>
        <v>169632411</v>
      </c>
      <c r="I12">
        <f t="shared" si="3"/>
        <v>141.3603425</v>
      </c>
      <c r="J12">
        <f t="shared" si="4"/>
        <v>163.6412885</v>
      </c>
      <c r="K12">
        <f t="shared" si="5"/>
        <v>1800.0541734999999</v>
      </c>
    </row>
    <row r="13" spans="1:11">
      <c r="A13">
        <v>12</v>
      </c>
      <c r="B13" s="6">
        <v>9600000</v>
      </c>
      <c r="C13" s="6">
        <v>6394823</v>
      </c>
      <c r="D13">
        <f t="shared" si="0"/>
        <v>2557929.2000000002</v>
      </c>
      <c r="E13">
        <f t="shared" si="1"/>
        <v>4.2632153333333331</v>
      </c>
      <c r="F13">
        <f t="shared" si="2"/>
        <v>19.2</v>
      </c>
      <c r="G13">
        <f>IFERROR(B13+C13,0)</f>
        <v>15994823</v>
      </c>
      <c r="H13">
        <f>SUM($G$2:G13)</f>
        <v>185627234</v>
      </c>
      <c r="I13">
        <f t="shared" si="3"/>
        <v>154.68936166666666</v>
      </c>
      <c r="J13">
        <f t="shared" si="4"/>
        <v>178.15257699999998</v>
      </c>
      <c r="K13">
        <f t="shared" si="5"/>
        <v>2137.8309239999999</v>
      </c>
    </row>
    <row r="14" spans="1:11">
      <c r="A14">
        <v>13</v>
      </c>
      <c r="B14" s="6">
        <v>9543147</v>
      </c>
      <c r="C14" s="6">
        <v>6456853</v>
      </c>
      <c r="D14">
        <f t="shared" si="0"/>
        <v>2582741.2000000002</v>
      </c>
      <c r="E14">
        <f t="shared" si="1"/>
        <v>4.3045686666666665</v>
      </c>
      <c r="F14">
        <f t="shared" si="2"/>
        <v>19.086293999999999</v>
      </c>
      <c r="G14">
        <f>IFERROR(B14+C14,0)</f>
        <v>16000000</v>
      </c>
      <c r="H14">
        <f>SUM($G$2:G14)</f>
        <v>201627234</v>
      </c>
      <c r="I14">
        <f t="shared" si="3"/>
        <v>168.022695</v>
      </c>
      <c r="J14">
        <f t="shared" si="4"/>
        <v>191.41355766666666</v>
      </c>
      <c r="K14">
        <f t="shared" si="5"/>
        <v>2488.3762496666668</v>
      </c>
    </row>
    <row r="15" spans="1:11">
      <c r="A15">
        <v>14</v>
      </c>
      <c r="B15" s="6">
        <v>8155887</v>
      </c>
      <c r="C15" s="6">
        <v>7844113</v>
      </c>
      <c r="D15">
        <f t="shared" si="0"/>
        <v>3137645.2</v>
      </c>
      <c r="E15">
        <f t="shared" si="1"/>
        <v>5.229408666666667</v>
      </c>
      <c r="F15">
        <f t="shared" si="2"/>
        <v>16.311774</v>
      </c>
      <c r="G15">
        <f>IFERROR(B15+C15,0)</f>
        <v>16000000</v>
      </c>
      <c r="H15">
        <f>SUM($G$2:G15)</f>
        <v>217627234</v>
      </c>
      <c r="I15">
        <f t="shared" si="3"/>
        <v>181.35602833333331</v>
      </c>
      <c r="J15">
        <f t="shared" si="4"/>
        <v>202.897211</v>
      </c>
      <c r="K15">
        <f t="shared" si="5"/>
        <v>2840.560954</v>
      </c>
    </row>
    <row r="16" spans="1:11">
      <c r="A16">
        <v>15</v>
      </c>
      <c r="B16" s="6">
        <v>7373053</v>
      </c>
      <c r="C16" s="6">
        <v>8626947</v>
      </c>
      <c r="D16">
        <f t="shared" si="0"/>
        <v>3450778.8</v>
      </c>
      <c r="E16">
        <f t="shared" si="1"/>
        <v>5.7512979999999994</v>
      </c>
      <c r="F16">
        <f t="shared" si="2"/>
        <v>14.746105999999999</v>
      </c>
      <c r="G16">
        <f>IFERROR(B16+C16,0)</f>
        <v>16000000</v>
      </c>
      <c r="H16">
        <f>SUM($G$2:G16)</f>
        <v>233627234</v>
      </c>
      <c r="I16">
        <f t="shared" si="3"/>
        <v>194.68936166666666</v>
      </c>
      <c r="J16">
        <f t="shared" si="4"/>
        <v>215.18676566666664</v>
      </c>
      <c r="K16">
        <f t="shared" si="5"/>
        <v>3227.8014849999995</v>
      </c>
    </row>
    <row r="17" spans="1:11">
      <c r="A17">
        <v>16</v>
      </c>
      <c r="B17" s="6">
        <v>6162694</v>
      </c>
      <c r="C17" s="6">
        <v>9837306</v>
      </c>
      <c r="D17">
        <f t="shared" si="0"/>
        <v>3934922.4</v>
      </c>
      <c r="E17">
        <f t="shared" si="1"/>
        <v>6.558203999999999</v>
      </c>
      <c r="F17">
        <f t="shared" si="2"/>
        <v>12.325388</v>
      </c>
      <c r="G17">
        <f>IFERROR(B17+C17,0)</f>
        <v>16000000</v>
      </c>
      <c r="H17">
        <f>SUM($G$2:G17)</f>
        <v>249627234</v>
      </c>
      <c r="I17">
        <f t="shared" si="3"/>
        <v>208.022695</v>
      </c>
      <c r="J17">
        <f t="shared" si="4"/>
        <v>226.90628699999999</v>
      </c>
      <c r="K17">
        <f t="shared" si="5"/>
        <v>3630.5005919999999</v>
      </c>
    </row>
    <row r="18" spans="1:11">
      <c r="A18">
        <v>17</v>
      </c>
      <c r="B18" s="6">
        <v>5284829</v>
      </c>
      <c r="C18" s="6">
        <v>10715171</v>
      </c>
      <c r="D18">
        <f t="shared" si="0"/>
        <v>4286068.4000000004</v>
      </c>
      <c r="E18">
        <f t="shared" si="1"/>
        <v>7.1434473333333344</v>
      </c>
      <c r="F18">
        <f t="shared" si="2"/>
        <v>10.569658</v>
      </c>
      <c r="G18">
        <f>IFERROR(B18+C18,0)</f>
        <v>16000000</v>
      </c>
      <c r="H18">
        <f>SUM($G$2:G18)</f>
        <v>265627234</v>
      </c>
      <c r="I18">
        <f t="shared" si="3"/>
        <v>221.35602833333331</v>
      </c>
      <c r="J18">
        <f t="shared" si="4"/>
        <v>239.06913366666666</v>
      </c>
      <c r="K18">
        <f t="shared" si="5"/>
        <v>4064.1752723333334</v>
      </c>
    </row>
    <row r="19" spans="1:11">
      <c r="A19">
        <v>18</v>
      </c>
      <c r="B19" s="6">
        <v>5250991</v>
      </c>
      <c r="C19" s="6">
        <v>10749009</v>
      </c>
      <c r="D19">
        <f t="shared" si="0"/>
        <v>4299603.5999999996</v>
      </c>
      <c r="E19">
        <f t="shared" si="1"/>
        <v>7.1660059999999994</v>
      </c>
      <c r="F19">
        <f t="shared" si="2"/>
        <v>10.501982</v>
      </c>
      <c r="G19">
        <f>IFERROR(B19+C19,0)</f>
        <v>16000000</v>
      </c>
      <c r="H19">
        <f>SUM($G$2:G19)</f>
        <v>281627234</v>
      </c>
      <c r="I19">
        <f t="shared" si="3"/>
        <v>234.68936166666666</v>
      </c>
      <c r="J19">
        <f t="shared" si="4"/>
        <v>252.35734966666666</v>
      </c>
      <c r="K19">
        <f t="shared" si="5"/>
        <v>4542.4322940000002</v>
      </c>
    </row>
    <row r="20" spans="1:11">
      <c r="A20">
        <v>19</v>
      </c>
      <c r="B20" s="6">
        <v>5608220</v>
      </c>
      <c r="C20" s="6">
        <v>10391780</v>
      </c>
      <c r="D20">
        <f t="shared" si="0"/>
        <v>4156712</v>
      </c>
      <c r="E20">
        <f t="shared" si="1"/>
        <v>6.9278533333333341</v>
      </c>
      <c r="F20">
        <f t="shared" si="2"/>
        <v>11.21644</v>
      </c>
      <c r="G20">
        <f>IFERROR(B20+C20,0)</f>
        <v>16000000</v>
      </c>
      <c r="H20">
        <f>SUM($G$2:G20)</f>
        <v>297627234</v>
      </c>
      <c r="I20">
        <f t="shared" si="3"/>
        <v>248.02269499999997</v>
      </c>
      <c r="J20">
        <f t="shared" si="4"/>
        <v>266.16698833333334</v>
      </c>
      <c r="K20">
        <f t="shared" si="5"/>
        <v>5057.1727783333336</v>
      </c>
    </row>
    <row r="21" spans="1:11">
      <c r="A21">
        <v>20</v>
      </c>
      <c r="B21" s="6">
        <v>5863653</v>
      </c>
      <c r="C21" s="6">
        <v>10136347</v>
      </c>
      <c r="D21">
        <f t="shared" si="0"/>
        <v>4054538.8</v>
      </c>
      <c r="E21">
        <f t="shared" si="1"/>
        <v>6.7575646666666671</v>
      </c>
      <c r="F21">
        <f t="shared" si="2"/>
        <v>11.727306</v>
      </c>
      <c r="G21">
        <f>IFERROR(B21+C21,0)</f>
        <v>16000000</v>
      </c>
      <c r="H21">
        <f>SUM($G$2:G21)</f>
        <v>313627234</v>
      </c>
      <c r="I21">
        <f t="shared" si="3"/>
        <v>261.35602833333331</v>
      </c>
      <c r="J21">
        <f t="shared" si="4"/>
        <v>279.84089899999998</v>
      </c>
      <c r="K21">
        <f t="shared" si="5"/>
        <v>5596.8179799999998</v>
      </c>
    </row>
    <row r="22" spans="1:11">
      <c r="A22">
        <v>21</v>
      </c>
      <c r="B22" s="6">
        <v>5786106</v>
      </c>
      <c r="C22" s="6">
        <v>10213894</v>
      </c>
      <c r="D22">
        <f t="shared" si="0"/>
        <v>4085557.6</v>
      </c>
      <c r="E22">
        <f t="shared" si="1"/>
        <v>6.8092626666666662</v>
      </c>
      <c r="F22">
        <f t="shared" si="2"/>
        <v>11.572212</v>
      </c>
      <c r="G22">
        <f t="shared" ref="G22:G30" si="6">IFERROR(B22+C22,0)</f>
        <v>16000000</v>
      </c>
      <c r="H22">
        <f>SUM($G$2:G22)</f>
        <v>329627234</v>
      </c>
      <c r="I22">
        <f t="shared" si="3"/>
        <v>274.68936166666668</v>
      </c>
      <c r="J22">
        <f t="shared" si="4"/>
        <v>293.07083633333332</v>
      </c>
      <c r="K22">
        <f t="shared" si="5"/>
        <v>6154.4875629999997</v>
      </c>
    </row>
    <row r="23" spans="1:11">
      <c r="A23">
        <v>22</v>
      </c>
      <c r="B23" s="6">
        <v>5585668</v>
      </c>
      <c r="C23" s="6">
        <v>10414332</v>
      </c>
      <c r="D23">
        <f t="shared" si="0"/>
        <v>4165732.8</v>
      </c>
      <c r="E23">
        <f t="shared" si="1"/>
        <v>6.9428879999999991</v>
      </c>
      <c r="F23">
        <f t="shared" si="2"/>
        <v>11.171336</v>
      </c>
      <c r="G23">
        <f t="shared" si="6"/>
        <v>16000000</v>
      </c>
      <c r="H23">
        <f>SUM($G$2:G23)</f>
        <v>345627234</v>
      </c>
      <c r="I23">
        <f t="shared" si="3"/>
        <v>288.022695</v>
      </c>
      <c r="J23">
        <f t="shared" si="4"/>
        <v>306.13691899999998</v>
      </c>
      <c r="K23">
        <f t="shared" si="5"/>
        <v>6735.0122179999998</v>
      </c>
    </row>
    <row r="24" spans="1:11">
      <c r="A24">
        <v>23</v>
      </c>
      <c r="B24" s="6">
        <v>5208486</v>
      </c>
      <c r="C24" s="6">
        <v>10791514</v>
      </c>
      <c r="D24">
        <f t="shared" si="0"/>
        <v>4316605.5999999996</v>
      </c>
      <c r="E24">
        <f t="shared" si="1"/>
        <v>7.1943426666666666</v>
      </c>
      <c r="F24">
        <f t="shared" si="2"/>
        <v>10.416971999999999</v>
      </c>
      <c r="G24">
        <f t="shared" si="6"/>
        <v>16000000</v>
      </c>
      <c r="H24">
        <f>SUM($G$2:G24)</f>
        <v>361627234</v>
      </c>
      <c r="I24">
        <f t="shared" si="3"/>
        <v>301.35602833333331</v>
      </c>
      <c r="J24">
        <f t="shared" si="4"/>
        <v>318.96734299999997</v>
      </c>
      <c r="K24">
        <f t="shared" si="5"/>
        <v>7336.2488889999995</v>
      </c>
    </row>
    <row r="25" spans="1:11">
      <c r="A25">
        <v>24</v>
      </c>
      <c r="B25" s="6">
        <v>4869592</v>
      </c>
      <c r="C25" s="6">
        <v>11130408</v>
      </c>
      <c r="D25">
        <f t="shared" si="0"/>
        <v>4452163.2</v>
      </c>
      <c r="E25">
        <f t="shared" si="1"/>
        <v>7.4202719999999998</v>
      </c>
      <c r="F25">
        <f t="shared" si="2"/>
        <v>9.7391839999999998</v>
      </c>
      <c r="G25">
        <f t="shared" si="6"/>
        <v>16000000</v>
      </c>
      <c r="H25">
        <f>SUM($G$2:G25)</f>
        <v>377627234</v>
      </c>
      <c r="I25">
        <f t="shared" si="3"/>
        <v>314.68936166666668</v>
      </c>
      <c r="J25">
        <f t="shared" si="4"/>
        <v>331.84881766666672</v>
      </c>
      <c r="K25">
        <f t="shared" si="5"/>
        <v>7964.3716240000012</v>
      </c>
    </row>
    <row r="26" spans="1:11">
      <c r="A26">
        <v>25</v>
      </c>
      <c r="B26" s="6">
        <v>4777141</v>
      </c>
      <c r="C26" s="6">
        <v>11222859</v>
      </c>
      <c r="D26">
        <f t="shared" si="0"/>
        <v>4489143.5999999996</v>
      </c>
      <c r="E26">
        <f t="shared" si="1"/>
        <v>7.4819059999999995</v>
      </c>
      <c r="F26">
        <f t="shared" si="2"/>
        <v>9.5542820000000006</v>
      </c>
      <c r="G26">
        <f t="shared" si="6"/>
        <v>16000000</v>
      </c>
      <c r="H26">
        <f>SUM($G$2:G26)</f>
        <v>393627234</v>
      </c>
      <c r="I26">
        <f t="shared" si="3"/>
        <v>328.022695</v>
      </c>
      <c r="J26">
        <f t="shared" si="4"/>
        <v>345.05888299999998</v>
      </c>
      <c r="K26">
        <f t="shared" si="5"/>
        <v>8626.4720749999997</v>
      </c>
    </row>
    <row r="27" spans="1:11">
      <c r="A27">
        <v>26</v>
      </c>
      <c r="B27" s="6">
        <v>4625238</v>
      </c>
      <c r="C27" s="6">
        <v>11374762</v>
      </c>
      <c r="D27">
        <f t="shared" si="0"/>
        <v>4549904.8</v>
      </c>
      <c r="E27">
        <f t="shared" si="1"/>
        <v>7.5831746666666655</v>
      </c>
      <c r="F27">
        <f t="shared" si="2"/>
        <v>9.2504760000000008</v>
      </c>
      <c r="G27">
        <f t="shared" si="6"/>
        <v>16000000</v>
      </c>
      <c r="H27">
        <f>SUM($G$2:G27)</f>
        <v>409627234</v>
      </c>
      <c r="I27">
        <f t="shared" si="3"/>
        <v>341.35602833333331</v>
      </c>
      <c r="J27">
        <f t="shared" si="4"/>
        <v>358.18967899999996</v>
      </c>
      <c r="K27">
        <f t="shared" si="5"/>
        <v>9312.9316539999982</v>
      </c>
    </row>
    <row r="28" spans="1:11">
      <c r="A28">
        <v>27</v>
      </c>
      <c r="B28" s="6">
        <v>4713494</v>
      </c>
      <c r="C28" s="6">
        <v>11286506</v>
      </c>
      <c r="D28">
        <f t="shared" si="0"/>
        <v>4514602.4000000004</v>
      </c>
      <c r="E28">
        <f t="shared" si="1"/>
        <v>7.5243373333333334</v>
      </c>
      <c r="F28">
        <f t="shared" ref="F28:F33" si="7">(B28*2)/1000000</f>
        <v>9.4269879999999997</v>
      </c>
      <c r="G28">
        <f t="shared" ref="G28:G33" si="8">IFERROR(B28+C28,0)</f>
        <v>16000000</v>
      </c>
      <c r="H28">
        <f>SUM($G$2:G28)</f>
        <v>425627234</v>
      </c>
      <c r="I28">
        <f t="shared" si="3"/>
        <v>354.68936166666668</v>
      </c>
      <c r="J28">
        <f t="shared" ref="J28:J33" si="9">I28+F28+E28</f>
        <v>371.64068700000001</v>
      </c>
      <c r="K28">
        <f t="shared" ref="K28:K33" si="10">A28*J28</f>
        <v>10034.298549000001</v>
      </c>
    </row>
    <row r="29" spans="1:11">
      <c r="A29">
        <v>28</v>
      </c>
      <c r="B29" s="6">
        <v>4615283</v>
      </c>
      <c r="C29" s="6">
        <v>11384717</v>
      </c>
      <c r="D29">
        <f t="shared" si="0"/>
        <v>4553886.8</v>
      </c>
      <c r="E29">
        <f t="shared" si="1"/>
        <v>7.5898113333333326</v>
      </c>
      <c r="F29">
        <f t="shared" si="7"/>
        <v>9.2305659999999996</v>
      </c>
      <c r="G29">
        <f t="shared" si="8"/>
        <v>16000000</v>
      </c>
      <c r="H29">
        <f>SUM($G$2:G29)</f>
        <v>441627234</v>
      </c>
      <c r="I29">
        <f t="shared" si="3"/>
        <v>368.022695</v>
      </c>
      <c r="J29">
        <f t="shared" si="9"/>
        <v>384.84307233333334</v>
      </c>
      <c r="K29">
        <f t="shared" si="10"/>
        <v>10775.606025333334</v>
      </c>
    </row>
    <row r="30" spans="1:11">
      <c r="A30">
        <v>29</v>
      </c>
      <c r="B30" s="6">
        <v>4239156</v>
      </c>
      <c r="C30" s="6">
        <v>11760844</v>
      </c>
      <c r="D30">
        <f t="shared" si="0"/>
        <v>4704337.5999999996</v>
      </c>
      <c r="E30">
        <f t="shared" si="1"/>
        <v>7.8405626666666661</v>
      </c>
      <c r="F30">
        <f t="shared" si="7"/>
        <v>8.4783120000000007</v>
      </c>
      <c r="G30">
        <f t="shared" si="8"/>
        <v>16000000</v>
      </c>
      <c r="H30">
        <f>SUM($G$2:G30)</f>
        <v>457627234</v>
      </c>
      <c r="I30">
        <f t="shared" si="3"/>
        <v>381.35602833333331</v>
      </c>
      <c r="J30">
        <f t="shared" si="9"/>
        <v>397.67490299999997</v>
      </c>
      <c r="K30">
        <f t="shared" si="10"/>
        <v>11532.572187</v>
      </c>
    </row>
    <row r="31" spans="1:11">
      <c r="A31">
        <v>30</v>
      </c>
      <c r="B31" s="6">
        <v>5404302</v>
      </c>
      <c r="C31" s="6">
        <v>10595698</v>
      </c>
      <c r="D31">
        <f t="shared" si="0"/>
        <v>4238279.2</v>
      </c>
      <c r="E31">
        <f t="shared" si="1"/>
        <v>7.0637986666666661</v>
      </c>
      <c r="F31">
        <f t="shared" si="7"/>
        <v>10.808604000000001</v>
      </c>
      <c r="G31">
        <f t="shared" si="8"/>
        <v>16000000</v>
      </c>
      <c r="H31">
        <f>SUM($G$2:G31)</f>
        <v>473627234</v>
      </c>
      <c r="I31">
        <f t="shared" si="3"/>
        <v>394.68936166666668</v>
      </c>
      <c r="J31">
        <f t="shared" si="9"/>
        <v>412.56176433333337</v>
      </c>
      <c r="K31">
        <f t="shared" si="10"/>
        <v>12376.852930000001</v>
      </c>
    </row>
    <row r="32" spans="1:11">
      <c r="A32">
        <v>31</v>
      </c>
      <c r="B32" s="6">
        <v>5900891</v>
      </c>
      <c r="C32" s="6">
        <v>10099109</v>
      </c>
      <c r="D32">
        <f t="shared" si="0"/>
        <v>4039643.6</v>
      </c>
      <c r="E32">
        <f t="shared" si="1"/>
        <v>6.7327393333333339</v>
      </c>
      <c r="F32">
        <f t="shared" si="7"/>
        <v>11.801781999999999</v>
      </c>
      <c r="G32">
        <f t="shared" si="8"/>
        <v>16000000</v>
      </c>
      <c r="H32">
        <f>SUM($G$2:G32)</f>
        <v>489627234</v>
      </c>
      <c r="I32">
        <f t="shared" si="3"/>
        <v>408.022695</v>
      </c>
      <c r="J32">
        <f t="shared" si="9"/>
        <v>426.55721633333332</v>
      </c>
      <c r="K32">
        <f t="shared" si="10"/>
        <v>13223.273706333333</v>
      </c>
    </row>
    <row r="33" spans="1:11">
      <c r="A33">
        <v>32</v>
      </c>
      <c r="B33" s="6">
        <v>1316851</v>
      </c>
      <c r="C33" s="6">
        <v>885676</v>
      </c>
      <c r="D33">
        <f t="shared" si="0"/>
        <v>354270.4</v>
      </c>
      <c r="E33">
        <f t="shared" si="1"/>
        <v>0.59045066666666668</v>
      </c>
      <c r="F33">
        <f t="shared" si="7"/>
        <v>2.633702</v>
      </c>
      <c r="G33">
        <f t="shared" si="8"/>
        <v>2202527</v>
      </c>
      <c r="H33">
        <f>SUM($G$2:G33)</f>
        <v>491829761</v>
      </c>
      <c r="I33">
        <f t="shared" si="3"/>
        <v>409.85813416666667</v>
      </c>
      <c r="J33">
        <f t="shared" si="9"/>
        <v>413.08228683333334</v>
      </c>
      <c r="K33">
        <f t="shared" si="10"/>
        <v>13218.633178666667</v>
      </c>
    </row>
    <row r="34" spans="1:11">
      <c r="B34" s="6"/>
      <c r="C34" s="6"/>
    </row>
    <row r="35" spans="1:11">
      <c r="C35" s="5">
        <f>SUM(C2:C33)</f>
        <v>268154881</v>
      </c>
    </row>
    <row r="37" spans="1:11">
      <c r="H37" s="14" t="s">
        <v>37</v>
      </c>
      <c r="I37" t="s">
        <v>2</v>
      </c>
      <c r="J37" s="15">
        <f>MAX(K2:K33)</f>
        <v>13223.273706333333</v>
      </c>
    </row>
    <row r="38" spans="1:11">
      <c r="I38" t="s">
        <v>3</v>
      </c>
      <c r="J38" s="15">
        <f>MAX(J2:J33)</f>
        <v>426.55721633333332</v>
      </c>
    </row>
    <row r="42" spans="1:11">
      <c r="A42" s="6"/>
      <c r="B42" s="7"/>
      <c r="C42" s="7"/>
      <c r="D42" s="6"/>
      <c r="E42" s="6"/>
      <c r="F42" s="7"/>
    </row>
    <row r="43" spans="1:11" ht="15.75" thickBot="1">
      <c r="A43" s="6"/>
      <c r="B43" s="7"/>
      <c r="C43" s="7"/>
      <c r="D43" s="6"/>
      <c r="E43" s="6"/>
      <c r="F43" s="7"/>
    </row>
    <row r="44" spans="1:11" ht="15.75" thickBot="1">
      <c r="A44" s="6"/>
      <c r="B44" s="7"/>
      <c r="C44" s="7"/>
      <c r="D44" s="6"/>
      <c r="E44" s="6"/>
      <c r="F44" s="7"/>
      <c r="G44" s="8" t="s">
        <v>38</v>
      </c>
      <c r="H44" s="9" t="s">
        <v>39</v>
      </c>
      <c r="I44" s="9" t="s">
        <v>40</v>
      </c>
    </row>
    <row r="45" spans="1:11" ht="15.75" thickBot="1">
      <c r="A45" s="6"/>
      <c r="B45" s="7"/>
      <c r="C45" s="7"/>
      <c r="D45" s="6"/>
      <c r="E45" s="6"/>
      <c r="F45" s="7"/>
      <c r="G45" s="10" t="s">
        <v>41</v>
      </c>
      <c r="H45" s="11" t="s">
        <v>42</v>
      </c>
      <c r="I45" s="11">
        <v>26</v>
      </c>
    </row>
    <row r="46" spans="1:11" ht="15.75" thickBot="1">
      <c r="A46" s="6"/>
      <c r="B46" s="7"/>
      <c r="C46" s="7"/>
      <c r="D46" s="6"/>
      <c r="E46" s="6"/>
      <c r="F46" s="7"/>
      <c r="G46" s="10" t="s">
        <v>43</v>
      </c>
      <c r="H46" s="11" t="s">
        <v>44</v>
      </c>
      <c r="I46" s="11">
        <v>10</v>
      </c>
    </row>
    <row r="47" spans="1:11" ht="15.75" thickBot="1">
      <c r="A47" s="6"/>
      <c r="B47" s="7"/>
      <c r="C47" s="7"/>
      <c r="D47" s="6"/>
      <c r="E47" s="6"/>
      <c r="F47" s="7"/>
      <c r="G47" s="10" t="s">
        <v>45</v>
      </c>
      <c r="H47" s="11" t="s">
        <v>46</v>
      </c>
      <c r="I47" s="11">
        <v>10</v>
      </c>
    </row>
    <row r="48" spans="1:11" ht="15.75" thickBot="1">
      <c r="A48" s="6"/>
      <c r="B48" s="7"/>
      <c r="C48" s="7"/>
      <c r="D48" s="6"/>
      <c r="E48" s="6"/>
      <c r="F48" s="7"/>
      <c r="G48" s="10" t="s">
        <v>47</v>
      </c>
      <c r="H48" s="11" t="s">
        <v>46</v>
      </c>
      <c r="I48" s="11">
        <v>8</v>
      </c>
    </row>
    <row r="49" spans="1:9" ht="15.75" thickBot="1">
      <c r="A49" s="6"/>
      <c r="B49" s="7"/>
      <c r="C49" s="7"/>
      <c r="D49" s="6"/>
      <c r="E49" s="6"/>
      <c r="F49" s="7"/>
      <c r="G49" s="10" t="s">
        <v>48</v>
      </c>
      <c r="H49" s="11" t="s">
        <v>49</v>
      </c>
      <c r="I49" s="11">
        <v>60</v>
      </c>
    </row>
    <row r="50" spans="1:9" ht="15.75" thickBot="1">
      <c r="A50" s="6"/>
      <c r="B50" s="7"/>
      <c r="C50" s="7"/>
      <c r="D50" s="6"/>
      <c r="E50" s="6"/>
      <c r="F50" s="7"/>
      <c r="G50" s="10" t="s">
        <v>50</v>
      </c>
      <c r="H50" s="11" t="s">
        <v>49</v>
      </c>
      <c r="I50" s="11">
        <v>18.5</v>
      </c>
    </row>
    <row r="51" spans="1:9" ht="15.75" thickBot="1">
      <c r="A51" s="6"/>
      <c r="B51" s="7"/>
      <c r="C51" s="7"/>
      <c r="D51" s="6"/>
      <c r="E51" s="6"/>
      <c r="F51" s="7"/>
      <c r="G51" s="10" t="s">
        <v>51</v>
      </c>
      <c r="H51" s="11"/>
      <c r="I51" s="11">
        <v>2.5</v>
      </c>
    </row>
    <row r="52" spans="1:9" ht="15.75" thickBot="1">
      <c r="A52" s="6"/>
      <c r="B52" s="7"/>
      <c r="C52" s="7"/>
      <c r="D52" s="6"/>
      <c r="E52" s="6"/>
      <c r="F52" s="7"/>
      <c r="G52" s="10" t="s">
        <v>52</v>
      </c>
      <c r="H52" s="11" t="s">
        <v>46</v>
      </c>
      <c r="I52" s="11">
        <v>10</v>
      </c>
    </row>
    <row r="53" spans="1:9" ht="15.75" thickBot="1">
      <c r="A53" s="6"/>
      <c r="B53" s="7"/>
      <c r="C53" s="7"/>
      <c r="D53" s="6"/>
      <c r="E53" s="6"/>
      <c r="F53" s="7"/>
      <c r="G53" s="10" t="s">
        <v>53</v>
      </c>
      <c r="H53" s="11" t="s">
        <v>46</v>
      </c>
      <c r="I53" s="12">
        <v>60</v>
      </c>
    </row>
    <row r="54" spans="1:9" ht="15.75" thickBot="1">
      <c r="A54" s="6"/>
      <c r="B54" s="7"/>
      <c r="C54" s="7"/>
      <c r="D54" s="6"/>
      <c r="E54" s="6"/>
      <c r="F54" s="7"/>
      <c r="G54" s="10" t="s">
        <v>54</v>
      </c>
      <c r="H54" s="11" t="s">
        <v>55</v>
      </c>
      <c r="I54" s="12">
        <v>2</v>
      </c>
    </row>
    <row r="55" spans="1:9" ht="15.75" thickBot="1">
      <c r="A55" s="6"/>
      <c r="B55" s="7"/>
      <c r="C55" s="7"/>
      <c r="D55" s="6"/>
      <c r="E55" s="6"/>
      <c r="F55" s="7"/>
      <c r="G55" s="10" t="s">
        <v>56</v>
      </c>
      <c r="H55" s="11" t="s">
        <v>46</v>
      </c>
      <c r="I55" s="12">
        <v>48</v>
      </c>
    </row>
    <row r="56" spans="1:9">
      <c r="A56" s="6"/>
      <c r="B56" s="7"/>
      <c r="C56" s="7"/>
      <c r="D56" s="6"/>
      <c r="E56" s="6"/>
      <c r="F56" s="7"/>
    </row>
    <row r="57" spans="1:9">
      <c r="A57" s="6">
        <v>1</v>
      </c>
      <c r="B57" s="6">
        <v>9600000</v>
      </c>
      <c r="C57" s="6">
        <v>5670215</v>
      </c>
      <c r="D57" s="6">
        <v>0.59</v>
      </c>
      <c r="E57" s="6">
        <v>2.3374999999999999</v>
      </c>
      <c r="F57" s="6">
        <v>803647009</v>
      </c>
      <c r="G57" s="6">
        <v>730588190</v>
      </c>
    </row>
    <row r="58" spans="1:9">
      <c r="A58" s="6">
        <v>2</v>
      </c>
      <c r="B58" s="6">
        <v>9600000</v>
      </c>
      <c r="C58" s="6">
        <v>5715161</v>
      </c>
      <c r="D58" s="6">
        <v>0.6</v>
      </c>
      <c r="E58" s="6">
        <v>1.7302</v>
      </c>
      <c r="F58" s="6">
        <v>533670006</v>
      </c>
      <c r="G58" s="6">
        <v>441049592</v>
      </c>
    </row>
    <row r="59" spans="1:9">
      <c r="A59" s="6">
        <v>3</v>
      </c>
      <c r="B59" s="6">
        <v>9600000</v>
      </c>
      <c r="C59" s="6">
        <v>6167705</v>
      </c>
      <c r="D59" s="6">
        <v>0.64</v>
      </c>
      <c r="E59" s="6">
        <v>2.0653999999999999</v>
      </c>
      <c r="F59" s="6">
        <v>681109976</v>
      </c>
      <c r="G59" s="6">
        <v>511728006</v>
      </c>
    </row>
    <row r="60" spans="1:9">
      <c r="A60" s="6">
        <v>4</v>
      </c>
      <c r="B60" s="6">
        <v>9499851</v>
      </c>
      <c r="C60" s="6">
        <v>6500149</v>
      </c>
      <c r="D60" s="6">
        <v>0.68</v>
      </c>
      <c r="E60" s="6">
        <v>2.4514999999999998</v>
      </c>
      <c r="F60" s="6">
        <v>842425589</v>
      </c>
      <c r="G60" s="6">
        <v>575388012</v>
      </c>
    </row>
    <row r="61" spans="1:9">
      <c r="A61" s="6">
        <v>5</v>
      </c>
      <c r="B61" s="6">
        <v>8789528</v>
      </c>
      <c r="C61" s="6">
        <v>7210472</v>
      </c>
      <c r="D61" s="6">
        <v>0.82</v>
      </c>
      <c r="E61" s="6">
        <v>2.5261</v>
      </c>
      <c r="F61" s="6">
        <v>805883683</v>
      </c>
      <c r="G61" s="6">
        <v>500390363</v>
      </c>
    </row>
    <row r="62" spans="1:9">
      <c r="A62" s="6">
        <v>6</v>
      </c>
      <c r="B62" s="6">
        <v>8700819</v>
      </c>
      <c r="C62" s="6">
        <v>7299181</v>
      </c>
      <c r="D62" s="6">
        <v>0.84</v>
      </c>
      <c r="E62" s="6">
        <v>2.4674999999999998</v>
      </c>
      <c r="F62" s="6">
        <v>773615438</v>
      </c>
      <c r="G62" s="6">
        <v>436685747</v>
      </c>
    </row>
    <row r="63" spans="1:9">
      <c r="A63" s="6">
        <v>7</v>
      </c>
      <c r="B63" s="6">
        <v>9600000</v>
      </c>
      <c r="C63" s="6">
        <v>5902280</v>
      </c>
      <c r="D63" s="6">
        <v>0.61</v>
      </c>
      <c r="E63" s="6">
        <v>2.4664000000000001</v>
      </c>
      <c r="F63" s="6">
        <v>860114724</v>
      </c>
      <c r="G63" s="6">
        <v>441374853</v>
      </c>
    </row>
    <row r="64" spans="1:9">
      <c r="A64" s="6">
        <v>8</v>
      </c>
      <c r="B64" s="6">
        <v>9600000</v>
      </c>
      <c r="C64" s="6">
        <v>4941963</v>
      </c>
      <c r="D64" s="6">
        <v>0.51</v>
      </c>
      <c r="E64" s="6">
        <v>2.3650000000000002</v>
      </c>
      <c r="F64" s="6">
        <v>818245972</v>
      </c>
      <c r="G64" s="6">
        <v>381717785</v>
      </c>
    </row>
    <row r="65" spans="1:7">
      <c r="A65" s="6">
        <v>9</v>
      </c>
      <c r="B65" s="6">
        <v>9600000</v>
      </c>
      <c r="C65" s="6">
        <v>5541703</v>
      </c>
      <c r="D65" s="6">
        <v>0.57999999999999996</v>
      </c>
      <c r="E65" s="6">
        <v>2.3607</v>
      </c>
      <c r="F65" s="6">
        <v>814354990</v>
      </c>
      <c r="G65" s="6">
        <v>345366012</v>
      </c>
    </row>
    <row r="66" spans="1:7">
      <c r="A66" s="6">
        <v>10</v>
      </c>
      <c r="B66" s="6">
        <v>9600000</v>
      </c>
      <c r="C66" s="6">
        <v>6271965</v>
      </c>
      <c r="D66" s="6">
        <v>0.65</v>
      </c>
      <c r="E66" s="6">
        <v>2.3898000000000001</v>
      </c>
      <c r="F66" s="6">
        <v>824870509</v>
      </c>
      <c r="G66" s="6">
        <v>318023289</v>
      </c>
    </row>
    <row r="67" spans="1:7">
      <c r="A67" s="6">
        <v>11</v>
      </c>
      <c r="B67" s="6">
        <v>9600000</v>
      </c>
      <c r="C67" s="6">
        <v>4621419</v>
      </c>
      <c r="D67" s="6">
        <v>0.48</v>
      </c>
      <c r="E67" s="6">
        <v>2.4935</v>
      </c>
      <c r="F67" s="6">
        <v>876367085</v>
      </c>
      <c r="G67" s="6">
        <v>307161317</v>
      </c>
    </row>
    <row r="68" spans="1:7">
      <c r="A68" s="6">
        <v>12</v>
      </c>
      <c r="B68" s="6">
        <v>9600000</v>
      </c>
      <c r="C68" s="6">
        <v>6394823</v>
      </c>
      <c r="D68" s="6">
        <v>0.67</v>
      </c>
      <c r="E68" s="6">
        <v>2.5146999999999999</v>
      </c>
      <c r="F68" s="6">
        <v>879994293</v>
      </c>
      <c r="G68" s="6">
        <v>280393301</v>
      </c>
    </row>
    <row r="69" spans="1:7">
      <c r="A69" s="6">
        <v>13</v>
      </c>
      <c r="B69" s="6">
        <v>9543147</v>
      </c>
      <c r="C69" s="6">
        <v>6456853</v>
      </c>
      <c r="D69" s="6">
        <v>0.68</v>
      </c>
      <c r="E69" s="6">
        <v>2.9731000000000001</v>
      </c>
      <c r="F69" s="6">
        <v>1076899810</v>
      </c>
      <c r="G69" s="6">
        <v>311939515</v>
      </c>
    </row>
    <row r="70" spans="1:7">
      <c r="A70" s="6">
        <v>14</v>
      </c>
      <c r="B70" s="6">
        <v>8155887</v>
      </c>
      <c r="C70" s="6">
        <v>7844113</v>
      </c>
      <c r="D70" s="6">
        <v>0.96</v>
      </c>
      <c r="E70" s="6">
        <v>0.97750000000000004</v>
      </c>
      <c r="F70" s="6">
        <v>159465822</v>
      </c>
      <c r="G70" s="6">
        <v>41992335</v>
      </c>
    </row>
    <row r="71" spans="1:7">
      <c r="A71" s="6">
        <v>15</v>
      </c>
      <c r="B71" s="6">
        <v>7373053</v>
      </c>
      <c r="C71" s="6">
        <v>8626947</v>
      </c>
      <c r="D71" s="6">
        <v>1.17</v>
      </c>
      <c r="E71" s="6">
        <v>1.123</v>
      </c>
      <c r="F71" s="6">
        <v>188793501</v>
      </c>
      <c r="G71" s="6">
        <v>45195663</v>
      </c>
    </row>
    <row r="72" spans="1:7">
      <c r="A72" s="6">
        <v>16</v>
      </c>
      <c r="B72" s="6">
        <v>6162694</v>
      </c>
      <c r="C72" s="6">
        <v>9837306</v>
      </c>
      <c r="D72" s="6">
        <v>1.6</v>
      </c>
      <c r="E72" s="6">
        <v>1.1919</v>
      </c>
      <c r="F72" s="6">
        <v>168835265</v>
      </c>
      <c r="G72" s="6">
        <v>36743473</v>
      </c>
    </row>
    <row r="73" spans="1:7">
      <c r="A73" s="6">
        <v>17</v>
      </c>
      <c r="B73" s="6">
        <v>5284829</v>
      </c>
      <c r="C73" s="6">
        <v>10715171</v>
      </c>
      <c r="D73" s="6">
        <v>2.0299999999999998</v>
      </c>
      <c r="E73" s="6">
        <v>1.0831999999999999</v>
      </c>
      <c r="F73" s="6">
        <v>110726311</v>
      </c>
      <c r="G73" s="6">
        <v>21906610</v>
      </c>
    </row>
    <row r="74" spans="1:7">
      <c r="A74" s="6">
        <v>18</v>
      </c>
      <c r="B74" s="6">
        <v>5250991</v>
      </c>
      <c r="C74" s="6">
        <v>10749009</v>
      </c>
      <c r="D74" s="6">
        <v>2.0499999999999998</v>
      </c>
      <c r="E74" s="6">
        <v>1.0943000000000001</v>
      </c>
      <c r="F74" s="6">
        <v>112363109</v>
      </c>
      <c r="G74" s="6">
        <v>20209493</v>
      </c>
    </row>
    <row r="75" spans="1:7">
      <c r="A75" s="6">
        <v>19</v>
      </c>
      <c r="B75" s="6">
        <v>5608220</v>
      </c>
      <c r="C75" s="6">
        <v>10391780</v>
      </c>
      <c r="D75" s="6">
        <v>1.85</v>
      </c>
      <c r="E75" s="6">
        <v>1.1718</v>
      </c>
      <c r="F75" s="6">
        <v>143690012</v>
      </c>
      <c r="G75" s="6">
        <v>23494465</v>
      </c>
    </row>
    <row r="76" spans="1:7">
      <c r="A76" s="6">
        <v>20</v>
      </c>
      <c r="B76" s="6">
        <v>5863653</v>
      </c>
      <c r="C76" s="6">
        <v>10136347</v>
      </c>
      <c r="D76" s="6">
        <v>1.73</v>
      </c>
      <c r="E76" s="6">
        <v>1.2051000000000001</v>
      </c>
      <c r="F76" s="6">
        <v>161658704</v>
      </c>
      <c r="G76" s="6">
        <v>24029536</v>
      </c>
    </row>
    <row r="77" spans="1:7">
      <c r="A77" s="6">
        <v>21</v>
      </c>
      <c r="B77" s="6">
        <v>5786106</v>
      </c>
      <c r="C77" s="6">
        <v>10213894</v>
      </c>
      <c r="D77" s="6">
        <v>1.77</v>
      </c>
      <c r="E77" s="6">
        <v>1.2143999999999999</v>
      </c>
      <c r="F77" s="6">
        <v>161324981</v>
      </c>
      <c r="G77" s="6">
        <v>21799937</v>
      </c>
    </row>
    <row r="78" spans="1:7">
      <c r="A78" s="6">
        <v>22</v>
      </c>
      <c r="B78" s="6">
        <v>5585668</v>
      </c>
      <c r="C78" s="6">
        <v>10414332</v>
      </c>
      <c r="D78" s="6">
        <v>1.86</v>
      </c>
      <c r="E78" s="6">
        <v>1.2399</v>
      </c>
      <c r="F78" s="6">
        <v>160518205</v>
      </c>
      <c r="G78" s="6">
        <v>19719015</v>
      </c>
    </row>
    <row r="79" spans="1:7">
      <c r="A79" s="6">
        <v>23</v>
      </c>
      <c r="B79" s="6">
        <v>5208486</v>
      </c>
      <c r="C79" s="6">
        <v>10791514</v>
      </c>
      <c r="D79" s="6">
        <v>2.0699999999999998</v>
      </c>
      <c r="E79" s="6">
        <v>1.2492000000000001</v>
      </c>
      <c r="F79" s="6">
        <v>148372766</v>
      </c>
      <c r="G79" s="6">
        <v>16569997</v>
      </c>
    </row>
    <row r="80" spans="1:7">
      <c r="A80" s="6">
        <v>24</v>
      </c>
      <c r="B80" s="6">
        <v>4869592</v>
      </c>
      <c r="C80" s="6">
        <v>11130408</v>
      </c>
      <c r="D80" s="6">
        <v>2.29</v>
      </c>
      <c r="E80" s="6">
        <v>1.2653000000000001</v>
      </c>
      <c r="F80" s="6">
        <v>138938532</v>
      </c>
      <c r="G80" s="6">
        <v>14105818</v>
      </c>
    </row>
    <row r="81" spans="1:7">
      <c r="A81" s="6">
        <v>25</v>
      </c>
      <c r="B81" s="6">
        <v>4777141</v>
      </c>
      <c r="C81" s="6">
        <v>11222859</v>
      </c>
      <c r="D81" s="6">
        <v>2.35</v>
      </c>
      <c r="E81" s="6">
        <v>1.3244</v>
      </c>
      <c r="F81" s="6">
        <v>148367109</v>
      </c>
      <c r="G81" s="6">
        <v>13693690</v>
      </c>
    </row>
    <row r="82" spans="1:7">
      <c r="A82" s="6">
        <v>26</v>
      </c>
      <c r="B82" s="6">
        <v>4625238</v>
      </c>
      <c r="C82" s="6">
        <v>11374762</v>
      </c>
      <c r="D82" s="6">
        <v>2.46</v>
      </c>
      <c r="E82" s="6">
        <v>1.4132</v>
      </c>
      <c r="F82" s="6">
        <v>160986805</v>
      </c>
      <c r="G82" s="6">
        <v>13507671</v>
      </c>
    </row>
    <row r="83" spans="1:7">
      <c r="A83" s="6">
        <v>27</v>
      </c>
      <c r="B83" s="6">
        <v>4713494</v>
      </c>
      <c r="C83" s="6">
        <v>11286506</v>
      </c>
      <c r="D83" s="6">
        <v>2.39</v>
      </c>
      <c r="E83" s="6">
        <v>1.4673</v>
      </c>
      <c r="F83" s="6">
        <v>176862957</v>
      </c>
      <c r="G83" s="6">
        <v>13490697</v>
      </c>
    </row>
    <row r="84" spans="1:7">
      <c r="A84" s="6">
        <v>28</v>
      </c>
      <c r="B84" s="6">
        <v>4615283</v>
      </c>
      <c r="C84" s="6">
        <v>11384717</v>
      </c>
      <c r="D84" s="6">
        <v>2.4700000000000002</v>
      </c>
      <c r="E84" s="6">
        <v>1.6107</v>
      </c>
      <c r="F84" s="6">
        <v>202715287</v>
      </c>
      <c r="G84" s="6">
        <v>14056957</v>
      </c>
    </row>
    <row r="85" spans="1:7">
      <c r="A85" s="6">
        <v>29</v>
      </c>
      <c r="B85" s="6">
        <v>4239156</v>
      </c>
      <c r="C85" s="6">
        <v>11760844</v>
      </c>
      <c r="D85" s="6">
        <v>2.77</v>
      </c>
      <c r="E85" s="6">
        <v>1.8109999999999999</v>
      </c>
      <c r="F85" s="6">
        <v>221206019</v>
      </c>
      <c r="G85" s="6">
        <v>13944697</v>
      </c>
    </row>
    <row r="86" spans="1:7">
      <c r="A86" s="6">
        <v>30</v>
      </c>
      <c r="B86" s="6">
        <v>5404302</v>
      </c>
      <c r="C86" s="6">
        <v>10595698</v>
      </c>
      <c r="D86" s="6">
        <v>1.96</v>
      </c>
      <c r="E86" s="6">
        <v>1.8326</v>
      </c>
      <c r="F86" s="6">
        <v>301826666</v>
      </c>
      <c r="G86" s="6">
        <v>17297250</v>
      </c>
    </row>
    <row r="87" spans="1:7">
      <c r="A87" s="6">
        <v>31</v>
      </c>
      <c r="B87" s="6">
        <v>5900891</v>
      </c>
      <c r="C87" s="6">
        <v>10099109</v>
      </c>
      <c r="D87" s="6">
        <v>1.71</v>
      </c>
      <c r="E87" s="6">
        <v>1.8087</v>
      </c>
      <c r="F87" s="6">
        <v>327869095</v>
      </c>
      <c r="G87" s="6">
        <v>17081549</v>
      </c>
    </row>
    <row r="88" spans="1:7">
      <c r="A88" s="6">
        <v>32</v>
      </c>
      <c r="B88" s="6">
        <v>1316851</v>
      </c>
      <c r="C88" s="6">
        <v>885676</v>
      </c>
      <c r="D88" s="6">
        <v>0.67</v>
      </c>
      <c r="E88" s="6">
        <v>3.5346000000000002</v>
      </c>
      <c r="F88" s="6">
        <v>182838446</v>
      </c>
      <c r="G88" s="6">
        <v>9401481</v>
      </c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fcce7-54a5-408a-9661-fe28f8bfca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1205FDE190A42B51D4C14B6548430" ma:contentTypeVersion="11" ma:contentTypeDescription="Create a new document." ma:contentTypeScope="" ma:versionID="dd10d3e38cc4dcf1fe9005ef0ad13762">
  <xsd:schema xmlns:xsd="http://www.w3.org/2001/XMLSchema" xmlns:xs="http://www.w3.org/2001/XMLSchema" xmlns:p="http://schemas.microsoft.com/office/2006/metadata/properties" xmlns:ns2="438fcce7-54a5-408a-9661-fe28f8bfca84" targetNamespace="http://schemas.microsoft.com/office/2006/metadata/properties" ma:root="true" ma:fieldsID="da7c2e9495ce2ab602c503037384bd9a" ns2:_="">
    <xsd:import namespace="438fcce7-54a5-408a-9661-fe28f8bfca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fcce7-54a5-408a-9661-fe28f8bfc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B458CE-02B0-4A08-9A4A-C41CF11DF209}"/>
</file>

<file path=customXml/itemProps2.xml><?xml version="1.0" encoding="utf-8"?>
<ds:datastoreItem xmlns:ds="http://schemas.openxmlformats.org/officeDocument/2006/customXml" ds:itemID="{4957A0DC-C5EF-424F-A2C0-5DE0576D0DE7}"/>
</file>

<file path=customXml/itemProps3.xml><?xml version="1.0" encoding="utf-8"?>
<ds:datastoreItem xmlns:ds="http://schemas.openxmlformats.org/officeDocument/2006/customXml" ds:itemID="{308C4866-2264-4A53-AF78-38F81FDF2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Altalhi, Hussam Naif S (S&amp;T-Student)</cp:lastModifiedBy>
  <cp:revision/>
  <dcterms:created xsi:type="dcterms:W3CDTF">2025-11-08T01:34:59Z</dcterms:created>
  <dcterms:modified xsi:type="dcterms:W3CDTF">2026-04-07T13:16:02Z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0x0101007C71205FDE190A42B51D4C14B6548430</vt:lpwstr>
  </property>
  <property fmtid="{D5CDD505-2E9C-101B-9397-08002B2CF9AE}" pid="3" name="MediaServiceImageTags">
    <vt:lpwstr/>
  </property>
</Properties>
</file>